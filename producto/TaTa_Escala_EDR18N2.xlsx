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 EDR18N2" sheetId="1" state="visible" r:id="rId3"/>
    <sheet name="Placa de intercepción" sheetId="2" state="visible" r:id="rId4"/>
    <sheet name="Ingenier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<sst xmlns="http://schemas.openxmlformats.org/spreadsheetml/2006/main" count="470" uniqueCount="339">
  <si>
    <t xml:space="preserve">TaTa · Kit sobre Mitsubishi EDR18N2 — escala de madurez del hardware</t>
  </si>
  <si>
    <t xml:space="preserve">Precios USD de lista, agosto 2026. Sólo PIEZAS: es lo único que hay que comprar. La ingeniería la pone el equipo y no se cobra — las horas quedan registradas en la hoja "Ingeniería".</t>
  </si>
  <si>
    <t xml:space="preserve">Reach truck pantográfico de operador parado · 1.58 t · 2.91 m con uñas de 1.21 m · pantógrafo 0.61 m · desplazador ±12 cm · inclinación 4°/3° · 7.9 km/h</t>
  </si>
  <si>
    <t xml:space="preserve">Módulo</t>
  </si>
  <si>
    <t xml:space="preserve">Componente</t>
  </si>
  <si>
    <t xml:space="preserve">Ingenio</t>
  </si>
  <si>
    <t xml:space="preserve">USD</t>
  </si>
  <si>
    <t xml:space="preserve">Piloto</t>
  </si>
  <si>
    <t xml:space="preserve">Serie</t>
  </si>
  <si>
    <t xml:space="preserve">Flota</t>
  </si>
  <si>
    <t xml:space="preserve">Homologado</t>
  </si>
  <si>
    <t xml:space="preserve">Nota</t>
  </si>
  <si>
    <t xml:space="preserve">Cómputo</t>
  </si>
  <si>
    <t xml:space="preserve">Módulo de cómputo IA</t>
  </si>
  <si>
    <t xml:space="preserve">Jetson Orin Nano 8 GB devkit</t>
  </si>
  <si>
    <t xml:space="preserve">Jetson Orin NX 16 GB</t>
  </si>
  <si>
    <t xml:space="preserve">Jetson AGX Orin 32 GB</t>
  </si>
  <si>
    <t xml:space="preserve">2× AGX Orin 64 GB redundante</t>
  </si>
  <si>
    <t xml:space="preserve">Carrier board</t>
  </si>
  <si>
    <t xml:space="preserve">Devkit carrier</t>
  </si>
  <si>
    <t xml:space="preserve">Industrial -40/+85, GMSL2, CAN</t>
  </si>
  <si>
    <t xml:space="preserve">+ alimentación redundante</t>
  </si>
  <si>
    <t xml:space="preserve">Custom con watchdog y doble bus</t>
  </si>
  <si>
    <t xml:space="preserve">Almacenamiento</t>
  </si>
  <si>
    <t xml:space="preserve">NVMe consumo 512 GB</t>
  </si>
  <si>
    <t xml:space="preserve">NVMe industrial 1 TB</t>
  </si>
  <si>
    <t xml:space="preserve">NVMe industrial 2 TB SLC</t>
  </si>
  <si>
    <t xml:space="preserve">RAID 1 doble NVMe</t>
  </si>
  <si>
    <t xml:space="preserve">Gabinete</t>
  </si>
  <si>
    <t xml:space="preserve">Caja comercial IP54</t>
  </si>
  <si>
    <t xml:space="preserve">Aluminio IP54 + silentblocks</t>
  </si>
  <si>
    <t xml:space="preserve">IP66 mecanizado con disipador</t>
  </si>
  <si>
    <t xml:space="preserve">IP67 con control térmico activo</t>
  </si>
  <si>
    <t xml:space="preserve">Convertidor DC-DC</t>
  </si>
  <si>
    <t xml:space="preserve">No aislado 150 W</t>
  </si>
  <si>
    <t xml:space="preserve">Aislado 300 W</t>
  </si>
  <si>
    <t xml:space="preserve">Aislado redundante</t>
  </si>
  <si>
    <t xml:space="preserve">Doble redundante con monitoreo</t>
  </si>
  <si>
    <t xml:space="preserve">el EDR es de 24/48 V: hace falta aislarlo del bus de tracción</t>
  </si>
  <si>
    <t xml:space="preserve">UPS de retención</t>
  </si>
  <si>
    <t xml:space="preserve">Batería 12 V sellada</t>
  </si>
  <si>
    <t xml:space="preserve">Supercap 24 V</t>
  </si>
  <si>
    <t xml:space="preserve">Supercap + BMS</t>
  </si>
  <si>
    <t xml:space="preserve">Doble bus con transferencia</t>
  </si>
  <si>
    <t xml:space="preserve">Protección eléctrica</t>
  </si>
  <si>
    <t xml:space="preserve">Fusiblera básica</t>
  </si>
  <si>
    <t xml:space="preserve">Fusiblera + supresores + contactor</t>
  </si>
  <si>
    <t xml:space="preserve">+ monitoreo de aislamiento</t>
  </si>
  <si>
    <t xml:space="preserve">+ registro de eventos</t>
  </si>
  <si>
    <t xml:space="preserve">Navegación</t>
  </si>
  <si>
    <t xml:space="preserve">LiDAR 3D</t>
  </si>
  <si>
    <t xml:space="preserve">Livox Mid-360</t>
  </si>
  <si>
    <t xml:space="preserve">RoboSense Helios / Ouster OS0</t>
  </si>
  <si>
    <t xml:space="preserve">Ouster OS1-64 + redundante</t>
  </si>
  <si>
    <t xml:space="preserve">desde el Banco, sin LiDAR no se prueba nada</t>
  </si>
  <si>
    <t xml:space="preserve">IMU</t>
  </si>
  <si>
    <t xml:space="preserve">BNO085</t>
  </si>
  <si>
    <t xml:space="preserve">Industrial 9-DOF</t>
  </si>
  <si>
    <t xml:space="preserve">MEMS táctico ADIS16505</t>
  </si>
  <si>
    <t xml:space="preserve">FOG táctico redundante</t>
  </si>
  <si>
    <t xml:space="preserve">Odometría de tracción</t>
  </si>
  <si>
    <t xml:space="preserve">Lectura CAN del controlador</t>
  </si>
  <si>
    <t xml:space="preserve">Lectura CAN</t>
  </si>
  <si>
    <t xml:space="preserve">Encoder propio de respaldo</t>
  </si>
  <si>
    <t xml:space="preserve">Absoluto SSI sellado</t>
  </si>
  <si>
    <t xml:space="preserve">Absoluto redundante 2 canales</t>
  </si>
  <si>
    <t xml:space="preserve">el controlador AC del EDR ya publica velocidad</t>
  </si>
  <si>
    <t xml:space="preserve">Ángulo de dirección</t>
  </si>
  <si>
    <t xml:space="preserve">Lectura del EPS por CAN</t>
  </si>
  <si>
    <t xml:space="preserve">Encoder absoluto propio</t>
  </si>
  <si>
    <t xml:space="preserve">Absoluto redundante</t>
  </si>
  <si>
    <t xml:space="preserve">Redundante certificado SIL 2</t>
  </si>
  <si>
    <t xml:space="preserve">la dirección del EDR ya es eléctrica y sabe su ángulo</t>
  </si>
  <si>
    <t xml:space="preserve">Marcadores fiduciales</t>
  </si>
  <si>
    <t xml:space="preserve">Vinilo impreso</t>
  </si>
  <si>
    <t xml:space="preserve">Reflectivos AprilTag, kit 60</t>
  </si>
  <si>
    <t xml:space="preserve">Retroreflectivos industriales</t>
  </si>
  <si>
    <t xml:space="preserve">Reflectores SICK certificados</t>
  </si>
  <si>
    <t xml:space="preserve">Visión</t>
  </si>
  <si>
    <t xml:space="preserve">Cámara de uñas</t>
  </si>
  <si>
    <t xml:space="preserve">La que ya trae el EDR</t>
  </si>
  <si>
    <t xml:space="preserve">Global shutter GMSL2 propia</t>
  </si>
  <si>
    <t xml:space="preserve">GMSL2 IP67 + iluminador</t>
  </si>
  <si>
    <t xml:space="preserve">Par estéreo IP69K</t>
  </si>
  <si>
    <t xml:space="preserve">AHORRO: el EDR viene con cámara en las uñas de fábrica</t>
  </si>
  <si>
    <t xml:space="preserve">Cámara de mástil</t>
  </si>
  <si>
    <t xml:space="preserve">USB 5 MP</t>
  </si>
  <si>
    <t xml:space="preserve">Basler dart 5 MP + iluminador</t>
  </si>
  <si>
    <t xml:space="preserve">Lector de código industrial</t>
  </si>
  <si>
    <t xml:space="preserve">Lector Cognex / SICK certificado</t>
  </si>
  <si>
    <t xml:space="preserve">sube con el carro: es la que hace el inventario</t>
  </si>
  <si>
    <t xml:space="preserve">Cámara de profundidad frontal</t>
  </si>
  <si>
    <t xml:space="preserve">Orbbec Gemini 335</t>
  </si>
  <si>
    <t xml:space="preserve">RealSense D455</t>
  </si>
  <si>
    <t xml:space="preserve">Estéreo industrial GMSL</t>
  </si>
  <si>
    <t xml:space="preserve">Estéreo industrial redundante</t>
  </si>
  <si>
    <t xml:space="preserve">Cámara de respaldo lateral</t>
  </si>
  <si>
    <t xml:space="preserve">Ninguna</t>
  </si>
  <si>
    <t xml:space="preserve">Industrial IP67 150°</t>
  </si>
  <si>
    <t xml:space="preserve">IP69K GMSL2</t>
  </si>
  <si>
    <t xml:space="preserve">Par redundante</t>
  </si>
  <si>
    <t xml:space="preserve">el pasillo de 3 m deja 9 cm de holgura: ver el costado vale</t>
  </si>
  <si>
    <t xml:space="preserve">Carga</t>
  </si>
  <si>
    <t xml:space="preserve">Altura del carro</t>
  </si>
  <si>
    <t xml:space="preserve">Lectura del indicador del EDR</t>
  </si>
  <si>
    <t xml:space="preserve">Encoder de cable 0–8 m</t>
  </si>
  <si>
    <t xml:space="preserve">Encoder IP67 redundante</t>
  </si>
  <si>
    <t xml:space="preserve">Redundante certificado</t>
  </si>
  <si>
    <t xml:space="preserve">alturas discretas: basta con saber en qué nivel está</t>
  </si>
  <si>
    <t xml:space="preserve">Presión hidráulica</t>
  </si>
  <si>
    <t xml:space="preserve">Transductor genérico</t>
  </si>
  <si>
    <t xml:space="preserve">IFM 0–250 bar 4-20 mA</t>
  </si>
  <si>
    <t xml:space="preserve">IFM con diagnóstico IO-Link</t>
  </si>
  <si>
    <t xml:space="preserve">Doble transductor redundante</t>
  </si>
  <si>
    <t xml:space="preserve">Presencia de carga</t>
  </si>
  <si>
    <t xml:space="preserve">Sensor inductivo</t>
  </si>
  <si>
    <t xml:space="preserve">Réflex IP67</t>
  </si>
  <si>
    <t xml:space="preserve">Réflex IP69K con diagnóstico</t>
  </si>
  <si>
    <t xml:space="preserve">Doble canal certificado</t>
  </si>
  <si>
    <t xml:space="preserve">Posición del desplazador</t>
  </si>
  <si>
    <t xml:space="preserve">Ninguna, lazo abierto</t>
  </si>
  <si>
    <t xml:space="preserve">Potenciómetro lineal</t>
  </si>
  <si>
    <t xml:space="preserve">Encoder lineal magnético</t>
  </si>
  <si>
    <t xml:space="preserve">Encoder IP67</t>
  </si>
  <si>
    <t xml:space="preserve">Redundante</t>
  </si>
  <si>
    <t xml:space="preserve">±12 cm de recorrido: es el margen de alineación, hay que medirlo</t>
  </si>
  <si>
    <t xml:space="preserve">Actuación</t>
  </si>
  <si>
    <t xml:space="preserve">Placa de intercepción</t>
  </si>
  <si>
    <t xml:space="preserve">Ninguna, teleoperado por consola</t>
  </si>
  <si>
    <t xml:space="preserve">Una placa: dirección + tracción + hidráulica</t>
  </si>
  <si>
    <t xml:space="preserve">Misma placa, versión sellada</t>
  </si>
  <si>
    <t xml:space="preserve">Doble placa redundante + diagnóstico</t>
  </si>
  <si>
    <t xml:space="preserve">Certificada SIL 2 con canal cruzado</t>
  </si>
  <si>
    <t xml:space="preserve">PIEZAS, no ingeniería: MCU, CAN aislado, DAC, ADC, mux y drivers de válvula. BOM real $198.</t>
  </si>
  <si>
    <t xml:space="preserve">Módulo CAN del fabricante</t>
  </si>
  <si>
    <t xml:space="preserve">Ninguno</t>
  </si>
  <si>
    <t xml:space="preserve">Ninguno — se emula por la placa</t>
  </si>
  <si>
    <t xml:space="preserve">Gateway oficial si Mitsubishi lo abre</t>
  </si>
  <si>
    <t xml:space="preserve">Integración firmware con fabricante</t>
  </si>
  <si>
    <t xml:space="preserve">Controlador de tracción SIL 2</t>
  </si>
  <si>
    <t xml:space="preserve">sólo si conviene comprar el camino oficial en vez de emular</t>
  </si>
  <si>
    <t xml:space="preserve">Freno</t>
  </si>
  <si>
    <t xml:space="preserve">El regenerativo del propio EDR</t>
  </si>
  <si>
    <t xml:space="preserve">Regenerativo + corte de tracción</t>
  </si>
  <si>
    <t xml:space="preserve">Freno de resorte redundante</t>
  </si>
  <si>
    <t xml:space="preserve">Freno eléctrico certificado</t>
  </si>
  <si>
    <t xml:space="preserve">el EDR frena solo al soltar: el freno mecánico es de estacionamiento</t>
  </si>
  <si>
    <t xml:space="preserve">Paro de emergencia</t>
  </si>
  <si>
    <t xml:space="preserve">Seta cableada al contactor</t>
  </si>
  <si>
    <t xml:space="preserve">Doble canal + relé de seguridad</t>
  </si>
  <si>
    <t xml:space="preserve">PNOZmulti + setas certificadas</t>
  </si>
  <si>
    <t xml:space="preserve">Cadena certificada PL e</t>
  </si>
  <si>
    <t xml:space="preserve">desde el Banco: nunca se mueve sin un botón que corte</t>
  </si>
  <si>
    <t xml:space="preserve">Selector de modo</t>
  </si>
  <si>
    <t xml:space="preserve">Switch genérico</t>
  </si>
  <si>
    <t xml:space="preserve">Llave 3 posiciones</t>
  </si>
  <si>
    <t xml:space="preserve">Llave con enclavamiento</t>
  </si>
  <si>
    <t xml:space="preserve">Enclavamiento certificado</t>
  </si>
  <si>
    <t xml:space="preserve">Seguridad</t>
  </si>
  <si>
    <t xml:space="preserve">Escáner de seguridad</t>
  </si>
  <si>
    <t xml:space="preserve">2× SICK nanoScan3 PL d</t>
  </si>
  <si>
    <t xml:space="preserve">3× SICK microScan3</t>
  </si>
  <si>
    <t xml:space="preserve">sólo desde Flota: es la capa que va aparte y no toca la navegación</t>
  </si>
  <si>
    <t xml:space="preserve">Controlador de seguridad</t>
  </si>
  <si>
    <t xml:space="preserve">SICK Flexi Soft</t>
  </si>
  <si>
    <t xml:space="preserve">PNOZmulti 2 redundante</t>
  </si>
  <si>
    <t xml:space="preserve">Velocidad segura</t>
  </si>
  <si>
    <t xml:space="preserve">SLS certificado</t>
  </si>
  <si>
    <t xml:space="preserve">SLS + SDI + SSM</t>
  </si>
  <si>
    <t xml:space="preserve">Bumper mecánico</t>
  </si>
  <si>
    <t xml:space="preserve">Banda sensible frontal</t>
  </si>
  <si>
    <t xml:space="preserve">Banda sensible doble canal</t>
  </si>
  <si>
    <t xml:space="preserve">Perimetral certificado</t>
  </si>
  <si>
    <t xml:space="preserve">en Serie sí: el taller choca a voluntad y hay que absorberlo</t>
  </si>
  <si>
    <t xml:space="preserve">Baliza y zona azul</t>
  </si>
  <si>
    <t xml:space="preserve">Torreta genérica</t>
  </si>
  <si>
    <t xml:space="preserve">Torreta + proyector azul</t>
  </si>
  <si>
    <t xml:space="preserve">IP69K</t>
  </si>
  <si>
    <t xml:space="preserve">Certificada con autodiagnóstico</t>
  </si>
  <si>
    <t xml:space="preserve">Conectividad</t>
  </si>
  <si>
    <t xml:space="preserve">Router</t>
  </si>
  <si>
    <t xml:space="preserve">Comercial WiFi</t>
  </si>
  <si>
    <t xml:space="preserve">Teltonika industrial 5G</t>
  </si>
  <si>
    <t xml:space="preserve">Doble SIM con failover</t>
  </si>
  <si>
    <t xml:space="preserve">Redundante 5G privado</t>
  </si>
  <si>
    <t xml:space="preserve">Antenas</t>
  </si>
  <si>
    <t xml:space="preserve">Genéricas magnéticas</t>
  </si>
  <si>
    <t xml:space="preserve">Taoglas 2×5G + 2×WiFi</t>
  </si>
  <si>
    <t xml:space="preserve">Industriales IP67</t>
  </si>
  <si>
    <t xml:space="preserve">Diversidad MIMO</t>
  </si>
  <si>
    <t xml:space="preserve">Interfaz</t>
  </si>
  <si>
    <t xml:space="preserve">Pantalla</t>
  </si>
  <si>
    <t xml:space="preserve">Tablet Android industrial</t>
  </si>
  <si>
    <t xml:space="preserve">Panel 10" IP65</t>
  </si>
  <si>
    <t xml:space="preserve">IP66 táctil con guantes</t>
  </si>
  <si>
    <t xml:space="preserve">HMI certificada redundante</t>
  </si>
  <si>
    <t xml:space="preserve">Barra de estado LED</t>
  </si>
  <si>
    <t xml:space="preserve">Tira direccionable</t>
  </si>
  <si>
    <t xml:space="preserve">Tira industrial</t>
  </si>
  <si>
    <t xml:space="preserve">Perimetral IP67</t>
  </si>
  <si>
    <t xml:space="preserve">Perimetral con zonas</t>
  </si>
  <si>
    <t xml:space="preserve">Instalación</t>
  </si>
  <si>
    <t xml:space="preserve">Arnés de cableado</t>
  </si>
  <si>
    <t xml:space="preserve">Genérico con conectores</t>
  </si>
  <si>
    <t xml:space="preserve">M12 apantallado a medida</t>
  </si>
  <si>
    <t xml:space="preserve">Certificado con trazabilidad</t>
  </si>
  <si>
    <t xml:space="preserve">Doble arnés redundante</t>
  </si>
  <si>
    <t xml:space="preserve">Soportes de montaje</t>
  </si>
  <si>
    <t xml:space="preserve">Universales</t>
  </si>
  <si>
    <t xml:space="preserve">Mecanizados a medida</t>
  </si>
  <si>
    <t xml:space="preserve">+ análisis de vibración</t>
  </si>
  <si>
    <t xml:space="preserve">Validados por FEA</t>
  </si>
  <si>
    <t xml:space="preserve">Consumibles y sellado</t>
  </si>
  <si>
    <t xml:space="preserve">Prensaestopas básicos</t>
  </si>
  <si>
    <t xml:space="preserve">Prensaestopas + termocontraíble</t>
  </si>
  <si>
    <t xml:space="preserve">Sellado IP67 certificado</t>
  </si>
  <si>
    <t xml:space="preserve">Trazabilidad de lote</t>
  </si>
  <si>
    <t xml:space="preserve">TOTAL DE PIEZAS</t>
  </si>
  <si>
    <t xml:space="preserve">Ingenio · no sale del taller. Contesta si el software puede: percibe, localiza y avisa. No interviene la máquina.</t>
  </si>
  <si>
    <t xml:space="preserve">Piloto · el primero que trabaja en un pasillo real. Interviene dirección y tracción: es el montacargas que no choca. ES EL QUE SE RECOMIENDA.</t>
  </si>
  <si>
    <t xml:space="preserve">Serie · lo que se le vende al cliente. Sensores propios en vez de depender de los del EDR, y bumper porque el taller choca a voluntad.</t>
  </si>
  <si>
    <t xml:space="preserve">Flota · resistido para tres turnos, con la capa de seguridad certificable. El salto es casi todo escáneres PL d.</t>
  </si>
  <si>
    <t xml:space="preserve">Homologado · redundancia completa para operación desatendida con auditoría.</t>
  </si>
  <si>
    <t xml:space="preserve">Entre Piloto y Serie hay poca distancia. Entre Serie y Flota hay muchísima, y es casi toda seguridad certificada.</t>
  </si>
  <si>
    <t xml:space="preserve">¿Cuánto cuesta emular las señales del EDR? — desglose de piezas</t>
  </si>
  <si>
    <t xml:space="preserve">Una sola placa cubre dirección, tracción e hidráulica. Se mete entre el mando del operador y el controlador de la máquina: lee lo que hace el operador, y cuando el robot manda, sustituye la señal.</t>
  </si>
  <si>
    <t xml:space="preserve">Pieza</t>
  </si>
  <si>
    <t xml:space="preserve">Detalle</t>
  </si>
  <si>
    <t xml:space="preserve">Cant.</t>
  </si>
  <si>
    <t xml:space="preserve">Unit. USD</t>
  </si>
  <si>
    <t xml:space="preserve">Subtotal</t>
  </si>
  <si>
    <t xml:space="preserve">MCU con CAN-FD y timers</t>
  </si>
  <si>
    <t xml:space="preserve">STM32G474 o similar</t>
  </si>
  <si>
    <t xml:space="preserve">Transceptores CAN aislados</t>
  </si>
  <si>
    <t xml:space="preserve">ISO1042, 2 buses</t>
  </si>
  <si>
    <t xml:space="preserve">Aislador digital de 6 canales</t>
  </si>
  <si>
    <t xml:space="preserve">ISO7761</t>
  </si>
  <si>
    <t xml:space="preserve">DAC de 16 bits, 4 canales</t>
  </si>
  <si>
    <t xml:space="preserve">DAC8564 — emula el mando del operador</t>
  </si>
  <si>
    <t xml:space="preserve">ADC de 16 bits, 8 canales</t>
  </si>
  <si>
    <t xml:space="preserve">ADS8688 — lee lo que hace el operador</t>
  </si>
  <si>
    <t xml:space="preserve">Multiplexor analógico de potencia</t>
  </si>
  <si>
    <t xml:space="preserve">conmuta operador ↔ robot</t>
  </si>
  <si>
    <t xml:space="preserve">Relés de seguridad de doble contacto</t>
  </si>
  <si>
    <t xml:space="preserve">corte físico del mando</t>
  </si>
  <si>
    <t xml:space="preserve">Drivers de válvula proporcional</t>
  </si>
  <si>
    <t xml:space="preserve">medio puente con lazo de corriente</t>
  </si>
  <si>
    <t xml:space="preserve">Sensado de corriente por canal</t>
  </si>
  <si>
    <t xml:space="preserve">INA240</t>
  </si>
  <si>
    <t xml:space="preserve">Regulador buck 24/48 V → 5 V</t>
  </si>
  <si>
    <t xml:space="preserve">aislado</t>
  </si>
  <si>
    <t xml:space="preserve">Supresión y protección de entrada</t>
  </si>
  <si>
    <t xml:space="preserve">TVS, fusibles, ferritas</t>
  </si>
  <si>
    <t xml:space="preserve">Conectores automotrices sellados</t>
  </si>
  <si>
    <t xml:space="preserve">Deutsch DT, 4 posiciones</t>
  </si>
  <si>
    <t xml:space="preserve">PCB 4 capas, lote de 10</t>
  </si>
  <si>
    <t xml:space="preserve">fabricación y ensamble</t>
  </si>
  <si>
    <t xml:space="preserve">Gabinete y prensaestopas</t>
  </si>
  <si>
    <t xml:space="preserve">IP65 pequeño</t>
  </si>
  <si>
    <t xml:space="preserve">BOM</t>
  </si>
  <si>
    <t xml:space="preserve">+35% ensamble y prueba</t>
  </si>
  <si>
    <t xml:space="preserve">Lo caro no son las piezas: es descubrir qué señal es cada cable. Esas horas las pone el equipo, así que en efectivo cuestan cero.</t>
  </si>
  <si>
    <t xml:space="preserve">Precio de lista</t>
  </si>
  <si>
    <t xml:space="preserve">Lo caro no son las piezas: es descubrir qué señal es cada cable. Eso está en la hoja "Ingeniería".</t>
  </si>
  <si>
    <t xml:space="preserve">Ingeniería por nivel de madurez — horas, quién las pone y qué sale en efectivo</t>
  </si>
  <si>
    <t xml:space="preserve">Estimaciones de ingeniero, no cotizaciones. Lo que hace el equipo interno no se cobra: aparece con su valor de mercado para dejar constancia, pero el efectivo es cero. Lo marcado "externo" sí es desembolso real.</t>
  </si>
  <si>
    <t xml:space="preserve">Tarifa de mercado de referencia $55/h · consultoría de seguridad funcional $95/h</t>
  </si>
  <si>
    <t xml:space="preserve">INGENIO</t>
  </si>
  <si>
    <t xml:space="preserve">Tarea</t>
  </si>
  <si>
    <t xml:space="preserve">Horas</t>
  </si>
  <si>
    <t xml:space="preserve">Quién</t>
  </si>
  <si>
    <t xml:space="preserve">Valor de mercado</t>
  </si>
  <si>
    <t xml:space="preserve">Efectivo</t>
  </si>
  <si>
    <t xml:space="preserve">Simulador: escena, cotas y cinemática del EDR</t>
  </si>
  <si>
    <t xml:space="preserve">maje</t>
  </si>
  <si>
    <t xml:space="preserve">LiDAR: integración y SLAM en pasillo</t>
  </si>
  <si>
    <t xml:space="preserve">Pato</t>
  </si>
  <si>
    <t xml:space="preserve">Cámaras: tubería de visión y marcadores</t>
  </si>
  <si>
    <t xml:space="preserve">Placa de intercepción: ingeniería inversa</t>
  </si>
  <si>
    <t xml:space="preserve">Placa de intercepción: diseño y validación</t>
  </si>
  <si>
    <t xml:space="preserve">Teleoperación y cadena de paro</t>
  </si>
  <si>
    <t xml:space="preserve">Integración y pruebas en taller</t>
  </si>
  <si>
    <t xml:space="preserve">maje + Pato</t>
  </si>
  <si>
    <t xml:space="preserve">Subtotal Ingenio</t>
  </si>
  <si>
    <t xml:space="preserve">PILOTO</t>
  </si>
  <si>
    <t xml:space="preserve">Evasión de obstáculos y control de velocidad</t>
  </si>
  <si>
    <t xml:space="preserve">Seguimiento de trayectoria en pasillo de 3 m</t>
  </si>
  <si>
    <t xml:space="preserve">Toma y dejada asistida con desplazador</t>
  </si>
  <si>
    <t xml:space="preserve">Modos de falla y recuperación</t>
  </si>
  <si>
    <t xml:space="preserve">Iteraciones de prueba en piso real</t>
  </si>
  <si>
    <t xml:space="preserve">equipo</t>
  </si>
  <si>
    <t xml:space="preserve">Subtotal Piloto</t>
  </si>
  <si>
    <t xml:space="preserve">SERIE</t>
  </si>
  <si>
    <t xml:space="preserve">Integración con el WMS del cliente</t>
  </si>
  <si>
    <t xml:space="preserve">Tablero de flota y reportes</t>
  </si>
  <si>
    <t xml:space="preserve">Herramientas de instalación y calibración</t>
  </si>
  <si>
    <t xml:space="preserve">Documentación, manuales y capacitación</t>
  </si>
  <si>
    <t xml:space="preserve">Endurecimiento y suite de regresión</t>
  </si>
  <si>
    <t xml:space="preserve">Migración a sensores propios</t>
  </si>
  <si>
    <t xml:space="preserve">Subtotal Serie</t>
  </si>
  <si>
    <t xml:space="preserve">FLOTA</t>
  </si>
  <si>
    <t xml:space="preserve">Arquitectura de seguridad e integración PL d</t>
  </si>
  <si>
    <t xml:space="preserve">externo</t>
  </si>
  <si>
    <t xml:space="preserve">Expediente de seguridad funcional ISO 3691-4</t>
  </si>
  <si>
    <t xml:space="preserve">Diagnóstico, OTA y soporte remoto</t>
  </si>
  <si>
    <t xml:space="preserve">Gestión de tráfico multivehículo</t>
  </si>
  <si>
    <t xml:space="preserve">Ingeniería de confiabilidad y MTBF</t>
  </si>
  <si>
    <t xml:space="preserve">Subtotal Flota</t>
  </si>
  <si>
    <t xml:space="preserve">Aranceles de certificación con tercero</t>
  </si>
  <si>
    <t xml:space="preserve">HOMOLOGADO</t>
  </si>
  <si>
    <t xml:space="preserve">Verificación y validación IEC 61508 / ISO 13849</t>
  </si>
  <si>
    <t xml:space="preserve">Arquitectura redundante y su verificación</t>
  </si>
  <si>
    <t xml:space="preserve">Proceso de certificación con tercero</t>
  </si>
  <si>
    <t xml:space="preserve">Sistema de calidad de manufactura</t>
  </si>
  <si>
    <t xml:space="preserve">Subtotal Homologado</t>
  </si>
  <si>
    <t xml:space="preserve">RESUMEN</t>
  </si>
  <si>
    <t xml:space="preserve">Nivel</t>
  </si>
  <si>
    <t xml:space="preserve">Sem-persona</t>
  </si>
  <si>
    <t xml:space="preserve">Horas acumuladas</t>
  </si>
  <si>
    <t xml:space="preserve">TOTAL</t>
  </si>
  <si>
    <t xml:space="preserve">Efectivo hasta el nivel Serie</t>
  </si>
  <si>
    <t xml:space="preserve">Valor aportado por el equipo hasta Serie</t>
  </si>
  <si>
    <t xml:space="preserve">EL COMPARABLE DE FÁBRICA</t>
  </si>
  <si>
    <t xml:space="preserve">Third Wave Automation · reach truck autónomo, fundada 2018</t>
  </si>
  <si>
    <t xml:space="preserve">Levantado en 8 años</t>
  </si>
  <si>
    <t xml:space="preserve">$97,000,000</t>
  </si>
  <si>
    <t xml:space="preserve">Si el 60% va a nómina de ingeniería</t>
  </si>
  <si>
    <t xml:space="preserve">$58,200,000</t>
  </si>
  <si>
    <t xml:space="preserve">A $200,000 por ingeniero-año cargado</t>
  </si>
  <si>
    <t xml:space="preserve">≈ 291 años-persona</t>
  </si>
  <si>
    <t xml:space="preserve">TaTa hasta el nivel Homologado</t>
  </si>
  <si>
    <t xml:space="preserve">2.7 años-persona</t>
  </si>
  <si>
    <t xml:space="preserve">O sea</t>
  </si>
  <si>
    <t xml:space="preserve">0.9% de ese esfuerzo</t>
  </si>
  <si>
    <t xml:space="preserve">La diferencia no es que seamos más rápidos ni más listos: es que no estamos construyendo la máquina.</t>
  </si>
  <si>
    <t xml:space="preserve">El mástil, la hidráulica, la tracción, el chasis y la homologación del vehículo base ya existen</t>
  </si>
  <si>
    <t xml:space="preserve">y ya los pagó Mitsubishi. Nosotros le agregamos percepción y decisión a algo que ya funciona.</t>
  </si>
  <si>
    <t xml:space="preserve">Por eso un autónomo de fábrica cuesta $90,000–$120,000 y este kit cuesta miles: en ese precio</t>
  </si>
  <si>
    <t xml:space="preserve">lo que se paga no es hardware, es la amortización de esos 291 años-persona.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</si>
</sst>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7F4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5C51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0303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1B7F4B"/>
      <name val="Arial"/>
      <family val="0"/>
      <charset val="1"/>
    </font>
    <font>
      <b val="true"/>
      <sz val="12"/>
      <color rgb="FF8A6D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D23"/>
        <bgColor rgb="FF20242B"/>
      </patternFill>
    </fill>
    <fill>
      <patternFill patternType="solid">
        <fgColor rgb="FF20242B"/>
        <bgColor rgb="FF1A1D2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B7F4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518"/>
      <rgbColor rgb="FFFF9900"/>
      <rgbColor rgb="FFFF6600"/>
      <rgbColor rgb="FF666699"/>
      <rgbColor rgb="FF969696"/>
      <rgbColor rgb="FF003366"/>
      <rgbColor rgb="FF339966"/>
      <rgbColor rgb="FF003300"/>
      <rgbColor rgb="FF1A1D23"/>
      <rgbColor rgb="FFB03030"/>
      <rgbColor rgb="FF993366"/>
      <rgbColor rgb="FF333399"/>
      <rgbColor rgb="FF2024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46"/>
    <col collapsed="false" customWidth="true" hidden="false" outlineLevel="0" max="4" min="4" style="1" width="14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39"/>
    <col collapsed="false" customWidth="true" hidden="false" outlineLevel="0" max="8" min="8" style="1" width="14"/>
    <col collapsed="false" customWidth="true" hidden="false" outlineLevel="0" max="9" min="9" style="1" width="38"/>
    <col collapsed="false" customWidth="true" hidden="false" outlineLevel="0" max="10" min="10" style="1" width="14"/>
    <col collapsed="false" customWidth="true" hidden="false" outlineLevel="0" max="11" min="11" style="1" width="37"/>
    <col collapsed="false" customWidth="true" hidden="false" outlineLevel="0" max="12" min="12" style="1" width="14"/>
    <col collapsed="false" customWidth="true" hidden="false" outlineLevel="0" max="13" min="13" style="1" width="46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6</v>
      </c>
      <c r="G5" s="4" t="s">
        <v>8</v>
      </c>
      <c r="H5" s="4" t="s">
        <v>6</v>
      </c>
      <c r="I5" s="4" t="s">
        <v>9</v>
      </c>
      <c r="J5" s="4" t="s">
        <v>6</v>
      </c>
      <c r="K5" s="4" t="s">
        <v>10</v>
      </c>
      <c r="L5" s="4" t="s">
        <v>6</v>
      </c>
      <c r="M5" s="4" t="s">
        <v>11</v>
      </c>
    </row>
    <row r="6" customFormat="false" ht="15" hidden="false" customHeight="true" outlineLevel="0" collapsed="false">
      <c r="A6" s="3" t="s">
        <v>12</v>
      </c>
      <c r="B6" s="3" t="s">
        <v>13</v>
      </c>
      <c r="C6" s="3" t="s">
        <v>14</v>
      </c>
      <c r="D6" s="3" t="n">
        <v>399</v>
      </c>
      <c r="E6" s="3" t="s">
        <v>15</v>
      </c>
      <c r="F6" s="3" t="n">
        <v>999</v>
      </c>
      <c r="G6" s="3" t="s">
        <v>15</v>
      </c>
      <c r="H6" s="3" t="n">
        <v>999</v>
      </c>
      <c r="I6" s="3" t="s">
        <v>16</v>
      </c>
      <c r="J6" s="3" t="n">
        <v>1799</v>
      </c>
      <c r="K6" s="3" t="s">
        <v>17</v>
      </c>
      <c r="L6" s="3" t="n">
        <v>4600</v>
      </c>
      <c r="M6" s="3"/>
    </row>
    <row r="7" customFormat="false" ht="15" hidden="false" customHeight="true" outlineLevel="0" collapsed="false">
      <c r="A7" s="3" t="s">
        <v>12</v>
      </c>
      <c r="B7" s="3" t="s">
        <v>18</v>
      </c>
      <c r="C7" s="3" t="s">
        <v>19</v>
      </c>
      <c r="D7" s="3" t="n">
        <v>0</v>
      </c>
      <c r="E7" s="3" t="s">
        <v>20</v>
      </c>
      <c r="F7" s="3" t="n">
        <v>450</v>
      </c>
      <c r="G7" s="3" t="s">
        <v>20</v>
      </c>
      <c r="H7" s="3" t="n">
        <v>450</v>
      </c>
      <c r="I7" s="3" t="s">
        <v>21</v>
      </c>
      <c r="J7" s="3" t="n">
        <v>780</v>
      </c>
      <c r="K7" s="3" t="s">
        <v>22</v>
      </c>
      <c r="L7" s="3" t="n">
        <v>1400</v>
      </c>
      <c r="M7" s="3"/>
    </row>
    <row r="8" customFormat="false" ht="15" hidden="false" customHeight="true" outlineLevel="0" collapsed="false">
      <c r="A8" s="3" t="s">
        <v>12</v>
      </c>
      <c r="B8" s="3" t="s">
        <v>23</v>
      </c>
      <c r="C8" s="3" t="s">
        <v>24</v>
      </c>
      <c r="D8" s="3" t="n">
        <v>60</v>
      </c>
      <c r="E8" s="3" t="s">
        <v>25</v>
      </c>
      <c r="F8" s="3" t="n">
        <v>140</v>
      </c>
      <c r="G8" s="3" t="s">
        <v>25</v>
      </c>
      <c r="H8" s="3" t="n">
        <v>140</v>
      </c>
      <c r="I8" s="3" t="s">
        <v>26</v>
      </c>
      <c r="J8" s="3" t="n">
        <v>340</v>
      </c>
      <c r="K8" s="3" t="s">
        <v>27</v>
      </c>
      <c r="L8" s="3" t="n">
        <v>700</v>
      </c>
      <c r="M8" s="3"/>
    </row>
    <row r="9" customFormat="false" ht="15" hidden="false" customHeight="true" outlineLevel="0" collapsed="false">
      <c r="A9" s="3" t="s">
        <v>12</v>
      </c>
      <c r="B9" s="3" t="s">
        <v>28</v>
      </c>
      <c r="C9" s="3" t="s">
        <v>29</v>
      </c>
      <c r="D9" s="3" t="n">
        <v>120</v>
      </c>
      <c r="E9" s="3" t="s">
        <v>30</v>
      </c>
      <c r="F9" s="3" t="n">
        <v>280</v>
      </c>
      <c r="G9" s="3" t="s">
        <v>30</v>
      </c>
      <c r="H9" s="3" t="n">
        <v>280</v>
      </c>
      <c r="I9" s="3" t="s">
        <v>31</v>
      </c>
      <c r="J9" s="3" t="n">
        <v>620</v>
      </c>
      <c r="K9" s="3" t="s">
        <v>32</v>
      </c>
      <c r="L9" s="3" t="n">
        <v>1300</v>
      </c>
      <c r="M9" s="3"/>
    </row>
    <row r="10" customFormat="false" ht="15" hidden="false" customHeight="true" outlineLevel="0" collapsed="false">
      <c r="A10" s="3" t="s">
        <v>12</v>
      </c>
      <c r="B10" s="3" t="s">
        <v>33</v>
      </c>
      <c r="C10" s="3" t="s">
        <v>34</v>
      </c>
      <c r="D10" s="3" t="n">
        <v>70</v>
      </c>
      <c r="E10" s="3" t="s">
        <v>35</v>
      </c>
      <c r="F10" s="3" t="n">
        <v>210</v>
      </c>
      <c r="G10" s="3" t="s">
        <v>35</v>
      </c>
      <c r="H10" s="3" t="n">
        <v>210</v>
      </c>
      <c r="I10" s="3" t="s">
        <v>36</v>
      </c>
      <c r="J10" s="3" t="n">
        <v>480</v>
      </c>
      <c r="K10" s="3" t="s">
        <v>37</v>
      </c>
      <c r="L10" s="3" t="n">
        <v>950</v>
      </c>
      <c r="M10" s="3" t="s">
        <v>38</v>
      </c>
    </row>
    <row r="11" customFormat="false" ht="15" hidden="false" customHeight="true" outlineLevel="0" collapsed="false">
      <c r="A11" s="3" t="s">
        <v>12</v>
      </c>
      <c r="B11" s="3" t="s">
        <v>39</v>
      </c>
      <c r="C11" s="3" t="s">
        <v>40</v>
      </c>
      <c r="D11" s="3" t="n">
        <v>60</v>
      </c>
      <c r="E11" s="3" t="s">
        <v>41</v>
      </c>
      <c r="F11" s="3" t="n">
        <v>160</v>
      </c>
      <c r="G11" s="3" t="s">
        <v>41</v>
      </c>
      <c r="H11" s="3" t="n">
        <v>160</v>
      </c>
      <c r="I11" s="3" t="s">
        <v>42</v>
      </c>
      <c r="J11" s="3" t="n">
        <v>380</v>
      </c>
      <c r="K11" s="3" t="s">
        <v>43</v>
      </c>
      <c r="L11" s="3" t="n">
        <v>820</v>
      </c>
      <c r="M11" s="3"/>
    </row>
    <row r="12" customFormat="false" ht="15" hidden="false" customHeight="true" outlineLevel="0" collapsed="false">
      <c r="A12" s="3" t="s">
        <v>12</v>
      </c>
      <c r="B12" s="3" t="s">
        <v>44</v>
      </c>
      <c r="C12" s="3" t="s">
        <v>45</v>
      </c>
      <c r="D12" s="3" t="n">
        <v>60</v>
      </c>
      <c r="E12" s="3" t="s">
        <v>46</v>
      </c>
      <c r="F12" s="3" t="n">
        <v>180</v>
      </c>
      <c r="G12" s="3" t="s">
        <v>46</v>
      </c>
      <c r="H12" s="3" t="n">
        <v>180</v>
      </c>
      <c r="I12" s="3" t="s">
        <v>47</v>
      </c>
      <c r="J12" s="3" t="n">
        <v>460</v>
      </c>
      <c r="K12" s="3" t="s">
        <v>48</v>
      </c>
      <c r="L12" s="3" t="n">
        <v>900</v>
      </c>
      <c r="M12" s="3"/>
    </row>
    <row r="13" customFormat="false" ht="15" hidden="false" customHeight="true" outlineLevel="0" collapsed="false">
      <c r="A13" s="3" t="s">
        <v>49</v>
      </c>
      <c r="B13" s="3" t="s">
        <v>50</v>
      </c>
      <c r="C13" s="3" t="s">
        <v>51</v>
      </c>
      <c r="D13" s="3" t="n">
        <v>749</v>
      </c>
      <c r="E13" s="3" t="s">
        <v>51</v>
      </c>
      <c r="F13" s="3" t="n">
        <v>749</v>
      </c>
      <c r="G13" s="3" t="s">
        <v>51</v>
      </c>
      <c r="H13" s="3" t="n">
        <v>749</v>
      </c>
      <c r="I13" s="3" t="s">
        <v>52</v>
      </c>
      <c r="J13" s="3" t="n">
        <v>4500</v>
      </c>
      <c r="K13" s="3" t="s">
        <v>53</v>
      </c>
      <c r="L13" s="3" t="n">
        <v>12000</v>
      </c>
      <c r="M13" s="3" t="s">
        <v>54</v>
      </c>
    </row>
    <row r="14" customFormat="false" ht="15" hidden="false" customHeight="true" outlineLevel="0" collapsed="false">
      <c r="A14" s="3" t="s">
        <v>49</v>
      </c>
      <c r="B14" s="3" t="s">
        <v>55</v>
      </c>
      <c r="C14" s="3" t="s">
        <v>56</v>
      </c>
      <c r="D14" s="3" t="n">
        <v>35</v>
      </c>
      <c r="E14" s="3" t="s">
        <v>57</v>
      </c>
      <c r="F14" s="3" t="n">
        <v>150</v>
      </c>
      <c r="G14" s="3" t="s">
        <v>57</v>
      </c>
      <c r="H14" s="3" t="n">
        <v>150</v>
      </c>
      <c r="I14" s="3" t="s">
        <v>58</v>
      </c>
      <c r="J14" s="3" t="n">
        <v>1200</v>
      </c>
      <c r="K14" s="3" t="s">
        <v>59</v>
      </c>
      <c r="L14" s="3" t="n">
        <v>4000</v>
      </c>
      <c r="M14" s="3"/>
    </row>
    <row r="15" customFormat="false" ht="15" hidden="false" customHeight="true" outlineLevel="0" collapsed="false">
      <c r="A15" s="3" t="s">
        <v>49</v>
      </c>
      <c r="B15" s="3" t="s">
        <v>60</v>
      </c>
      <c r="C15" s="3" t="s">
        <v>61</v>
      </c>
      <c r="D15" s="3" t="n">
        <v>0</v>
      </c>
      <c r="E15" s="3" t="s">
        <v>62</v>
      </c>
      <c r="F15" s="3" t="n">
        <v>0</v>
      </c>
      <c r="G15" s="3" t="s">
        <v>63</v>
      </c>
      <c r="H15" s="3" t="n">
        <v>180</v>
      </c>
      <c r="I15" s="3" t="s">
        <v>64</v>
      </c>
      <c r="J15" s="3" t="n">
        <v>420</v>
      </c>
      <c r="K15" s="3" t="s">
        <v>65</v>
      </c>
      <c r="L15" s="3" t="n">
        <v>980</v>
      </c>
      <c r="M15" s="3" t="s">
        <v>66</v>
      </c>
    </row>
    <row r="16" customFormat="false" ht="15" hidden="false" customHeight="true" outlineLevel="0" collapsed="false">
      <c r="A16" s="3" t="s">
        <v>49</v>
      </c>
      <c r="B16" s="3" t="s">
        <v>67</v>
      </c>
      <c r="C16" s="3" t="s">
        <v>68</v>
      </c>
      <c r="D16" s="3" t="n">
        <v>0</v>
      </c>
      <c r="E16" s="3" t="s">
        <v>68</v>
      </c>
      <c r="F16" s="3" t="n">
        <v>0</v>
      </c>
      <c r="G16" s="3" t="s">
        <v>69</v>
      </c>
      <c r="H16" s="3" t="n">
        <v>320</v>
      </c>
      <c r="I16" s="3" t="s">
        <v>70</v>
      </c>
      <c r="J16" s="3" t="n">
        <v>760</v>
      </c>
      <c r="K16" s="3" t="s">
        <v>71</v>
      </c>
      <c r="L16" s="3" t="n">
        <v>1600</v>
      </c>
      <c r="M16" s="3" t="s">
        <v>72</v>
      </c>
    </row>
    <row r="17" customFormat="false" ht="15" hidden="false" customHeight="true" outlineLevel="0" collapsed="false">
      <c r="A17" s="3" t="s">
        <v>49</v>
      </c>
      <c r="B17" s="3" t="s">
        <v>73</v>
      </c>
      <c r="C17" s="3" t="s">
        <v>74</v>
      </c>
      <c r="D17" s="3" t="n">
        <v>80</v>
      </c>
      <c r="E17" s="3" t="s">
        <v>75</v>
      </c>
      <c r="F17" s="3" t="n">
        <v>180</v>
      </c>
      <c r="G17" s="3" t="s">
        <v>75</v>
      </c>
      <c r="H17" s="3" t="n">
        <v>180</v>
      </c>
      <c r="I17" s="3" t="s">
        <v>76</v>
      </c>
      <c r="J17" s="3" t="n">
        <v>480</v>
      </c>
      <c r="K17" s="3" t="s">
        <v>77</v>
      </c>
      <c r="L17" s="3" t="n">
        <v>1200</v>
      </c>
      <c r="M17" s="3"/>
    </row>
    <row r="18" customFormat="false" ht="15" hidden="false" customHeight="true" outlineLevel="0" collapsed="false">
      <c r="A18" s="3" t="s">
        <v>78</v>
      </c>
      <c r="B18" s="3" t="s">
        <v>79</v>
      </c>
      <c r="C18" s="3" t="s">
        <v>80</v>
      </c>
      <c r="D18" s="3" t="n">
        <v>0</v>
      </c>
      <c r="E18" s="3" t="s">
        <v>80</v>
      </c>
      <c r="F18" s="3" t="n">
        <v>0</v>
      </c>
      <c r="G18" s="3" t="s">
        <v>81</v>
      </c>
      <c r="H18" s="3" t="n">
        <v>380</v>
      </c>
      <c r="I18" s="3" t="s">
        <v>82</v>
      </c>
      <c r="J18" s="3" t="n">
        <v>780</v>
      </c>
      <c r="K18" s="3" t="s">
        <v>83</v>
      </c>
      <c r="L18" s="3" t="n">
        <v>1900</v>
      </c>
      <c r="M18" s="5" t="s">
        <v>84</v>
      </c>
    </row>
    <row r="19" customFormat="false" ht="15" hidden="false" customHeight="true" outlineLevel="0" collapsed="false">
      <c r="A19" s="3" t="s">
        <v>78</v>
      </c>
      <c r="B19" s="3" t="s">
        <v>85</v>
      </c>
      <c r="C19" s="3" t="s">
        <v>86</v>
      </c>
      <c r="D19" s="3" t="n">
        <v>180</v>
      </c>
      <c r="E19" s="3" t="s">
        <v>87</v>
      </c>
      <c r="F19" s="3" t="n">
        <v>520</v>
      </c>
      <c r="G19" s="3" t="s">
        <v>87</v>
      </c>
      <c r="H19" s="3" t="n">
        <v>520</v>
      </c>
      <c r="I19" s="3" t="s">
        <v>88</v>
      </c>
      <c r="J19" s="3" t="n">
        <v>900</v>
      </c>
      <c r="K19" s="3" t="s">
        <v>89</v>
      </c>
      <c r="L19" s="3" t="n">
        <v>2400</v>
      </c>
      <c r="M19" s="3" t="s">
        <v>90</v>
      </c>
    </row>
    <row r="20" customFormat="false" ht="15" hidden="false" customHeight="true" outlineLevel="0" collapsed="false">
      <c r="A20" s="3" t="s">
        <v>78</v>
      </c>
      <c r="B20" s="3" t="s">
        <v>91</v>
      </c>
      <c r="C20" s="3" t="s">
        <v>92</v>
      </c>
      <c r="D20" s="3" t="n">
        <v>250</v>
      </c>
      <c r="E20" s="3" t="s">
        <v>93</v>
      </c>
      <c r="F20" s="3" t="n">
        <v>400</v>
      </c>
      <c r="G20" s="3" t="s">
        <v>93</v>
      </c>
      <c r="H20" s="3" t="n">
        <v>400</v>
      </c>
      <c r="I20" s="3" t="s">
        <v>94</v>
      </c>
      <c r="J20" s="3" t="n">
        <v>1400</v>
      </c>
      <c r="K20" s="3" t="s">
        <v>95</v>
      </c>
      <c r="L20" s="3" t="n">
        <v>3200</v>
      </c>
      <c r="M20" s="3"/>
    </row>
    <row r="21" customFormat="false" ht="15" hidden="false" customHeight="true" outlineLevel="0" collapsed="false">
      <c r="A21" s="3" t="s">
        <v>78</v>
      </c>
      <c r="B21" s="3" t="s">
        <v>96</v>
      </c>
      <c r="C21" s="3" t="s">
        <v>97</v>
      </c>
      <c r="D21" s="3" t="n">
        <v>0</v>
      </c>
      <c r="E21" s="3" t="s">
        <v>97</v>
      </c>
      <c r="F21" s="3" t="n">
        <v>0</v>
      </c>
      <c r="G21" s="3" t="s">
        <v>98</v>
      </c>
      <c r="H21" s="3" t="n">
        <v>260</v>
      </c>
      <c r="I21" s="3" t="s">
        <v>99</v>
      </c>
      <c r="J21" s="3" t="n">
        <v>540</v>
      </c>
      <c r="K21" s="3" t="s">
        <v>100</v>
      </c>
      <c r="L21" s="3" t="n">
        <v>1150</v>
      </c>
      <c r="M21" s="3" t="s">
        <v>101</v>
      </c>
    </row>
    <row r="22" customFormat="false" ht="15" hidden="false" customHeight="true" outlineLevel="0" collapsed="false">
      <c r="A22" s="3" t="s">
        <v>102</v>
      </c>
      <c r="B22" s="3" t="s">
        <v>103</v>
      </c>
      <c r="C22" s="3" t="s">
        <v>104</v>
      </c>
      <c r="D22" s="3" t="n">
        <v>0</v>
      </c>
      <c r="E22" s="3" t="s">
        <v>105</v>
      </c>
      <c r="F22" s="3" t="n">
        <v>350</v>
      </c>
      <c r="G22" s="3" t="s">
        <v>105</v>
      </c>
      <c r="H22" s="3" t="n">
        <v>350</v>
      </c>
      <c r="I22" s="3" t="s">
        <v>106</v>
      </c>
      <c r="J22" s="3" t="n">
        <v>820</v>
      </c>
      <c r="K22" s="3" t="s">
        <v>107</v>
      </c>
      <c r="L22" s="3" t="n">
        <v>1800</v>
      </c>
      <c r="M22" s="3" t="s">
        <v>108</v>
      </c>
    </row>
    <row r="23" customFormat="false" ht="15" hidden="false" customHeight="true" outlineLevel="0" collapsed="false">
      <c r="A23" s="3" t="s">
        <v>102</v>
      </c>
      <c r="B23" s="3" t="s">
        <v>109</v>
      </c>
      <c r="C23" s="3" t="s">
        <v>110</v>
      </c>
      <c r="D23" s="3" t="n">
        <v>70</v>
      </c>
      <c r="E23" s="3" t="s">
        <v>111</v>
      </c>
      <c r="F23" s="3" t="n">
        <v>180</v>
      </c>
      <c r="G23" s="3" t="s">
        <v>111</v>
      </c>
      <c r="H23" s="3" t="n">
        <v>180</v>
      </c>
      <c r="I23" s="3" t="s">
        <v>112</v>
      </c>
      <c r="J23" s="3" t="n">
        <v>360</v>
      </c>
      <c r="K23" s="3" t="s">
        <v>113</v>
      </c>
      <c r="L23" s="3" t="n">
        <v>780</v>
      </c>
      <c r="M23" s="3"/>
    </row>
    <row r="24" customFormat="false" ht="15" hidden="false" customHeight="true" outlineLevel="0" collapsed="false">
      <c r="A24" s="3" t="s">
        <v>102</v>
      </c>
      <c r="B24" s="3" t="s">
        <v>114</v>
      </c>
      <c r="C24" s="3" t="s">
        <v>115</v>
      </c>
      <c r="D24" s="3" t="n">
        <v>40</v>
      </c>
      <c r="E24" s="3" t="s">
        <v>116</v>
      </c>
      <c r="F24" s="3" t="n">
        <v>90</v>
      </c>
      <c r="G24" s="3" t="s">
        <v>116</v>
      </c>
      <c r="H24" s="3" t="n">
        <v>90</v>
      </c>
      <c r="I24" s="3" t="s">
        <v>117</v>
      </c>
      <c r="J24" s="3" t="n">
        <v>210</v>
      </c>
      <c r="K24" s="3" t="s">
        <v>118</v>
      </c>
      <c r="L24" s="3" t="n">
        <v>520</v>
      </c>
      <c r="M24" s="3"/>
    </row>
    <row r="25" customFormat="false" ht="15" hidden="false" customHeight="true" outlineLevel="0" collapsed="false">
      <c r="A25" s="3" t="s">
        <v>102</v>
      </c>
      <c r="B25" s="3" t="s">
        <v>119</v>
      </c>
      <c r="C25" s="3" t="s">
        <v>120</v>
      </c>
      <c r="D25" s="3" t="n">
        <v>0</v>
      </c>
      <c r="E25" s="3" t="s">
        <v>121</v>
      </c>
      <c r="F25" s="3" t="n">
        <v>90</v>
      </c>
      <c r="G25" s="3" t="s">
        <v>122</v>
      </c>
      <c r="H25" s="3" t="n">
        <v>280</v>
      </c>
      <c r="I25" s="3" t="s">
        <v>123</v>
      </c>
      <c r="J25" s="3" t="n">
        <v>520</v>
      </c>
      <c r="K25" s="3" t="s">
        <v>124</v>
      </c>
      <c r="L25" s="3" t="n">
        <v>1100</v>
      </c>
      <c r="M25" s="3" t="s">
        <v>125</v>
      </c>
    </row>
    <row r="26" customFormat="false" ht="15" hidden="false" customHeight="true" outlineLevel="0" collapsed="false">
      <c r="A26" s="3" t="s">
        <v>126</v>
      </c>
      <c r="B26" s="3" t="s">
        <v>127</v>
      </c>
      <c r="C26" s="3" t="s">
        <v>128</v>
      </c>
      <c r="D26" s="3" t="n">
        <v>0</v>
      </c>
      <c r="E26" s="3" t="s">
        <v>129</v>
      </c>
      <c r="F26" s="3" t="n">
        <v>270</v>
      </c>
      <c r="G26" s="3" t="s">
        <v>130</v>
      </c>
      <c r="H26" s="3" t="n">
        <v>340</v>
      </c>
      <c r="I26" s="3" t="s">
        <v>131</v>
      </c>
      <c r="J26" s="3" t="n">
        <v>980</v>
      </c>
      <c r="K26" s="3" t="s">
        <v>132</v>
      </c>
      <c r="L26" s="3" t="n">
        <v>4200</v>
      </c>
      <c r="M26" s="5" t="s">
        <v>133</v>
      </c>
    </row>
    <row r="27" customFormat="false" ht="15" hidden="false" customHeight="true" outlineLevel="0" collapsed="false">
      <c r="A27" s="3" t="s">
        <v>126</v>
      </c>
      <c r="B27" s="3" t="s">
        <v>134</v>
      </c>
      <c r="C27" s="3" t="s">
        <v>135</v>
      </c>
      <c r="D27" s="3" t="n">
        <v>0</v>
      </c>
      <c r="E27" s="3" t="s">
        <v>136</v>
      </c>
      <c r="F27" s="3" t="n">
        <v>0</v>
      </c>
      <c r="G27" s="3" t="s">
        <v>137</v>
      </c>
      <c r="H27" s="3" t="n">
        <v>900</v>
      </c>
      <c r="I27" s="3" t="s">
        <v>138</v>
      </c>
      <c r="J27" s="3" t="n">
        <v>2800</v>
      </c>
      <c r="K27" s="3" t="s">
        <v>139</v>
      </c>
      <c r="L27" s="3" t="n">
        <v>6500</v>
      </c>
      <c r="M27" s="3" t="s">
        <v>140</v>
      </c>
    </row>
    <row r="28" customFormat="false" ht="15" hidden="false" customHeight="true" outlineLevel="0" collapsed="false">
      <c r="A28" s="3" t="s">
        <v>126</v>
      </c>
      <c r="B28" s="3" t="s">
        <v>141</v>
      </c>
      <c r="C28" s="3" t="s">
        <v>142</v>
      </c>
      <c r="D28" s="3" t="n">
        <v>0</v>
      </c>
      <c r="E28" s="3" t="s">
        <v>143</v>
      </c>
      <c r="F28" s="3" t="n">
        <v>0</v>
      </c>
      <c r="G28" s="3" t="s">
        <v>143</v>
      </c>
      <c r="H28" s="3" t="n">
        <v>0</v>
      </c>
      <c r="I28" s="3" t="s">
        <v>144</v>
      </c>
      <c r="J28" s="3" t="n">
        <v>1900</v>
      </c>
      <c r="K28" s="3" t="s">
        <v>145</v>
      </c>
      <c r="L28" s="3" t="n">
        <v>4200</v>
      </c>
      <c r="M28" s="3" t="s">
        <v>146</v>
      </c>
    </row>
    <row r="29" customFormat="false" ht="15" hidden="false" customHeight="true" outlineLevel="0" collapsed="false">
      <c r="A29" s="3" t="s">
        <v>126</v>
      </c>
      <c r="B29" s="3" t="s">
        <v>147</v>
      </c>
      <c r="C29" s="3" t="s">
        <v>148</v>
      </c>
      <c r="D29" s="3" t="n">
        <v>120</v>
      </c>
      <c r="E29" s="3" t="s">
        <v>149</v>
      </c>
      <c r="F29" s="3" t="n">
        <v>450</v>
      </c>
      <c r="G29" s="3" t="s">
        <v>149</v>
      </c>
      <c r="H29" s="3" t="n">
        <v>450</v>
      </c>
      <c r="I29" s="3" t="s">
        <v>150</v>
      </c>
      <c r="J29" s="3" t="n">
        <v>1100</v>
      </c>
      <c r="K29" s="3" t="s">
        <v>151</v>
      </c>
      <c r="L29" s="3" t="n">
        <v>2400</v>
      </c>
      <c r="M29" s="3" t="s">
        <v>152</v>
      </c>
    </row>
    <row r="30" customFormat="false" ht="15" hidden="false" customHeight="true" outlineLevel="0" collapsed="false">
      <c r="A30" s="3" t="s">
        <v>126</v>
      </c>
      <c r="B30" s="3" t="s">
        <v>153</v>
      </c>
      <c r="C30" s="3" t="s">
        <v>154</v>
      </c>
      <c r="D30" s="3" t="n">
        <v>35</v>
      </c>
      <c r="E30" s="3" t="s">
        <v>155</v>
      </c>
      <c r="F30" s="3" t="n">
        <v>130</v>
      </c>
      <c r="G30" s="3" t="s">
        <v>155</v>
      </c>
      <c r="H30" s="3" t="n">
        <v>130</v>
      </c>
      <c r="I30" s="3" t="s">
        <v>156</v>
      </c>
      <c r="J30" s="3" t="n">
        <v>340</v>
      </c>
      <c r="K30" s="3" t="s">
        <v>157</v>
      </c>
      <c r="L30" s="3" t="n">
        <v>780</v>
      </c>
      <c r="M30" s="3"/>
    </row>
    <row r="31" customFormat="false" ht="15" hidden="false" customHeight="true" outlineLevel="0" collapsed="false">
      <c r="A31" s="3" t="s">
        <v>158</v>
      </c>
      <c r="B31" s="3" t="s">
        <v>159</v>
      </c>
      <c r="C31" s="3" t="s">
        <v>135</v>
      </c>
      <c r="D31" s="3" t="n">
        <v>0</v>
      </c>
      <c r="E31" s="3" t="s">
        <v>135</v>
      </c>
      <c r="F31" s="3" t="n">
        <v>0</v>
      </c>
      <c r="G31" s="3" t="s">
        <v>135</v>
      </c>
      <c r="H31" s="3" t="n">
        <v>0</v>
      </c>
      <c r="I31" s="3" t="s">
        <v>160</v>
      </c>
      <c r="J31" s="3" t="n">
        <v>7000</v>
      </c>
      <c r="K31" s="3" t="s">
        <v>161</v>
      </c>
      <c r="L31" s="3" t="n">
        <v>13500</v>
      </c>
      <c r="M31" s="3" t="s">
        <v>162</v>
      </c>
    </row>
    <row r="32" customFormat="false" ht="15" hidden="false" customHeight="true" outlineLevel="0" collapsed="false">
      <c r="A32" s="3" t="s">
        <v>158</v>
      </c>
      <c r="B32" s="3" t="s">
        <v>163</v>
      </c>
      <c r="C32" s="3" t="s">
        <v>135</v>
      </c>
      <c r="D32" s="3" t="n">
        <v>0</v>
      </c>
      <c r="E32" s="3" t="s">
        <v>135</v>
      </c>
      <c r="F32" s="3" t="n">
        <v>0</v>
      </c>
      <c r="G32" s="3" t="s">
        <v>135</v>
      </c>
      <c r="H32" s="3" t="n">
        <v>0</v>
      </c>
      <c r="I32" s="3" t="s">
        <v>164</v>
      </c>
      <c r="J32" s="3" t="n">
        <v>900</v>
      </c>
      <c r="K32" s="3" t="s">
        <v>165</v>
      </c>
      <c r="L32" s="3" t="n">
        <v>3600</v>
      </c>
      <c r="M32" s="3"/>
    </row>
    <row r="33" customFormat="false" ht="15" hidden="false" customHeight="true" outlineLevel="0" collapsed="false">
      <c r="A33" s="3" t="s">
        <v>158</v>
      </c>
      <c r="B33" s="3" t="s">
        <v>166</v>
      </c>
      <c r="C33" s="3" t="s">
        <v>97</v>
      </c>
      <c r="D33" s="3" t="n">
        <v>0</v>
      </c>
      <c r="E33" s="3" t="s">
        <v>97</v>
      </c>
      <c r="F33" s="3" t="n">
        <v>0</v>
      </c>
      <c r="G33" s="3" t="s">
        <v>97</v>
      </c>
      <c r="H33" s="3" t="n">
        <v>0</v>
      </c>
      <c r="I33" s="3" t="s">
        <v>167</v>
      </c>
      <c r="J33" s="3" t="n">
        <v>1700</v>
      </c>
      <c r="K33" s="3" t="s">
        <v>168</v>
      </c>
      <c r="L33" s="3" t="n">
        <v>3400</v>
      </c>
      <c r="M33" s="3"/>
    </row>
    <row r="34" customFormat="false" ht="15" hidden="false" customHeight="true" outlineLevel="0" collapsed="false">
      <c r="A34" s="3" t="s">
        <v>158</v>
      </c>
      <c r="B34" s="3" t="s">
        <v>169</v>
      </c>
      <c r="C34" s="3" t="s">
        <v>135</v>
      </c>
      <c r="D34" s="3" t="n">
        <v>0</v>
      </c>
      <c r="E34" s="3" t="s">
        <v>135</v>
      </c>
      <c r="F34" s="3" t="n">
        <v>0</v>
      </c>
      <c r="G34" s="3" t="s">
        <v>170</v>
      </c>
      <c r="H34" s="3" t="n">
        <v>500</v>
      </c>
      <c r="I34" s="3" t="s">
        <v>171</v>
      </c>
      <c r="J34" s="3" t="n">
        <v>950</v>
      </c>
      <c r="K34" s="3" t="s">
        <v>172</v>
      </c>
      <c r="L34" s="3" t="n">
        <v>2200</v>
      </c>
      <c r="M34" s="3" t="s">
        <v>173</v>
      </c>
    </row>
    <row r="35" customFormat="false" ht="15" hidden="false" customHeight="true" outlineLevel="0" collapsed="false">
      <c r="A35" s="3" t="s">
        <v>158</v>
      </c>
      <c r="B35" s="3" t="s">
        <v>174</v>
      </c>
      <c r="C35" s="3" t="s">
        <v>175</v>
      </c>
      <c r="D35" s="3" t="n">
        <v>45</v>
      </c>
      <c r="E35" s="3" t="s">
        <v>176</v>
      </c>
      <c r="F35" s="3" t="n">
        <v>270</v>
      </c>
      <c r="G35" s="3" t="s">
        <v>176</v>
      </c>
      <c r="H35" s="3" t="n">
        <v>270</v>
      </c>
      <c r="I35" s="3" t="s">
        <v>177</v>
      </c>
      <c r="J35" s="3" t="n">
        <v>800</v>
      </c>
      <c r="K35" s="3" t="s">
        <v>178</v>
      </c>
      <c r="L35" s="3" t="n">
        <v>1500</v>
      </c>
      <c r="M35" s="3"/>
    </row>
    <row r="36" customFormat="false" ht="15" hidden="false" customHeight="true" outlineLevel="0" collapsed="false">
      <c r="A36" s="3" t="s">
        <v>179</v>
      </c>
      <c r="B36" s="3" t="s">
        <v>180</v>
      </c>
      <c r="C36" s="3" t="s">
        <v>181</v>
      </c>
      <c r="D36" s="3" t="n">
        <v>120</v>
      </c>
      <c r="E36" s="3" t="s">
        <v>182</v>
      </c>
      <c r="F36" s="3" t="n">
        <v>400</v>
      </c>
      <c r="G36" s="3" t="s">
        <v>182</v>
      </c>
      <c r="H36" s="3" t="n">
        <v>400</v>
      </c>
      <c r="I36" s="3" t="s">
        <v>183</v>
      </c>
      <c r="J36" s="3" t="n">
        <v>780</v>
      </c>
      <c r="K36" s="3" t="s">
        <v>184</v>
      </c>
      <c r="L36" s="3" t="n">
        <v>1900</v>
      </c>
      <c r="M36" s="3"/>
    </row>
    <row r="37" customFormat="false" ht="15" hidden="false" customHeight="true" outlineLevel="0" collapsed="false">
      <c r="A37" s="3" t="s">
        <v>179</v>
      </c>
      <c r="B37" s="3" t="s">
        <v>185</v>
      </c>
      <c r="C37" s="3" t="s">
        <v>186</v>
      </c>
      <c r="D37" s="3" t="n">
        <v>30</v>
      </c>
      <c r="E37" s="3" t="s">
        <v>187</v>
      </c>
      <c r="F37" s="3" t="n">
        <v>90</v>
      </c>
      <c r="G37" s="3" t="s">
        <v>187</v>
      </c>
      <c r="H37" s="3" t="n">
        <v>90</v>
      </c>
      <c r="I37" s="3" t="s">
        <v>188</v>
      </c>
      <c r="J37" s="3" t="n">
        <v>220</v>
      </c>
      <c r="K37" s="3" t="s">
        <v>189</v>
      </c>
      <c r="L37" s="3" t="n">
        <v>480</v>
      </c>
      <c r="M37" s="3"/>
    </row>
    <row r="38" customFormat="false" ht="15" hidden="false" customHeight="true" outlineLevel="0" collapsed="false">
      <c r="A38" s="3" t="s">
        <v>190</v>
      </c>
      <c r="B38" s="3" t="s">
        <v>191</v>
      </c>
      <c r="C38" s="3" t="s">
        <v>192</v>
      </c>
      <c r="D38" s="3" t="n">
        <v>200</v>
      </c>
      <c r="E38" s="3" t="s">
        <v>193</v>
      </c>
      <c r="F38" s="3" t="n">
        <v>350</v>
      </c>
      <c r="G38" s="3" t="s">
        <v>193</v>
      </c>
      <c r="H38" s="3" t="n">
        <v>350</v>
      </c>
      <c r="I38" s="3" t="s">
        <v>194</v>
      </c>
      <c r="J38" s="3" t="n">
        <v>780</v>
      </c>
      <c r="K38" s="3" t="s">
        <v>195</v>
      </c>
      <c r="L38" s="3" t="n">
        <v>1800</v>
      </c>
      <c r="M38" s="3"/>
    </row>
    <row r="39" customFormat="false" ht="15" hidden="false" customHeight="true" outlineLevel="0" collapsed="false">
      <c r="A39" s="3" t="s">
        <v>190</v>
      </c>
      <c r="B39" s="3" t="s">
        <v>196</v>
      </c>
      <c r="C39" s="3" t="s">
        <v>197</v>
      </c>
      <c r="D39" s="3" t="n">
        <v>40</v>
      </c>
      <c r="E39" s="3" t="s">
        <v>198</v>
      </c>
      <c r="F39" s="3" t="n">
        <v>80</v>
      </c>
      <c r="G39" s="3" t="s">
        <v>198</v>
      </c>
      <c r="H39" s="3" t="n">
        <v>80</v>
      </c>
      <c r="I39" s="3" t="s">
        <v>199</v>
      </c>
      <c r="J39" s="3" t="n">
        <v>190</v>
      </c>
      <c r="K39" s="3" t="s">
        <v>200</v>
      </c>
      <c r="L39" s="3" t="n">
        <v>420</v>
      </c>
      <c r="M39" s="3"/>
    </row>
    <row r="40" customFormat="false" ht="15" hidden="false" customHeight="true" outlineLevel="0" collapsed="false">
      <c r="A40" s="3" t="s">
        <v>201</v>
      </c>
      <c r="B40" s="3" t="s">
        <v>202</v>
      </c>
      <c r="C40" s="3" t="s">
        <v>203</v>
      </c>
      <c r="D40" s="3" t="n">
        <v>200</v>
      </c>
      <c r="E40" s="3" t="s">
        <v>204</v>
      </c>
      <c r="F40" s="3" t="n">
        <v>520</v>
      </c>
      <c r="G40" s="3" t="s">
        <v>204</v>
      </c>
      <c r="H40" s="3" t="n">
        <v>520</v>
      </c>
      <c r="I40" s="3" t="s">
        <v>205</v>
      </c>
      <c r="J40" s="3" t="n">
        <v>1200</v>
      </c>
      <c r="K40" s="3" t="s">
        <v>206</v>
      </c>
      <c r="L40" s="3" t="n">
        <v>2600</v>
      </c>
      <c r="M40" s="3"/>
    </row>
    <row r="41" customFormat="false" ht="15" hidden="false" customHeight="true" outlineLevel="0" collapsed="false">
      <c r="A41" s="3" t="s">
        <v>201</v>
      </c>
      <c r="B41" s="3" t="s">
        <v>207</v>
      </c>
      <c r="C41" s="3" t="s">
        <v>208</v>
      </c>
      <c r="D41" s="3" t="n">
        <v>250</v>
      </c>
      <c r="E41" s="3" t="s">
        <v>209</v>
      </c>
      <c r="F41" s="3" t="n">
        <v>640</v>
      </c>
      <c r="G41" s="3" t="s">
        <v>209</v>
      </c>
      <c r="H41" s="3" t="n">
        <v>640</v>
      </c>
      <c r="I41" s="3" t="s">
        <v>210</v>
      </c>
      <c r="J41" s="3" t="n">
        <v>1500</v>
      </c>
      <c r="K41" s="3" t="s">
        <v>211</v>
      </c>
      <c r="L41" s="3" t="n">
        <v>3500</v>
      </c>
      <c r="M41" s="3"/>
    </row>
    <row r="42" customFormat="false" ht="15" hidden="false" customHeight="true" outlineLevel="0" collapsed="false">
      <c r="A42" s="3" t="s">
        <v>201</v>
      </c>
      <c r="B42" s="3" t="s">
        <v>212</v>
      </c>
      <c r="C42" s="3" t="s">
        <v>213</v>
      </c>
      <c r="D42" s="3" t="n">
        <v>60</v>
      </c>
      <c r="E42" s="3" t="s">
        <v>214</v>
      </c>
      <c r="F42" s="3" t="n">
        <v>130</v>
      </c>
      <c r="G42" s="3" t="s">
        <v>214</v>
      </c>
      <c r="H42" s="3" t="n">
        <v>130</v>
      </c>
      <c r="I42" s="3" t="s">
        <v>215</v>
      </c>
      <c r="J42" s="3" t="n">
        <v>280</v>
      </c>
      <c r="K42" s="3" t="s">
        <v>216</v>
      </c>
      <c r="L42" s="3" t="n">
        <v>600</v>
      </c>
      <c r="M42" s="3"/>
    </row>
    <row r="43" customFormat="false" ht="15" hidden="false" customHeight="true" outlineLevel="0" collapsed="false">
      <c r="A43" s="3"/>
      <c r="B43" s="6" t="s">
        <v>217</v>
      </c>
      <c r="C43" s="3"/>
      <c r="D43" s="6" t="n">
        <f aca="false">SUM(D6:D42)</f>
        <v>3273</v>
      </c>
      <c r="E43" s="3"/>
      <c r="F43" s="6" t="n">
        <f aca="false">SUM(F6:F42)</f>
        <v>8458</v>
      </c>
      <c r="G43" s="3"/>
      <c r="H43" s="6" t="n">
        <f aca="false">SUM(H6:H42)</f>
        <v>11258</v>
      </c>
      <c r="I43" s="3"/>
      <c r="J43" s="6" t="n">
        <f aca="false">SUM(J6:J42)</f>
        <v>41169</v>
      </c>
      <c r="K43" s="3"/>
      <c r="L43" s="6" t="n">
        <f aca="false">SUM(L6:L42)</f>
        <v>96880</v>
      </c>
      <c r="M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5" hidden="false" customHeight="true" outlineLevel="0" collapsed="false">
      <c r="A45" s="3"/>
      <c r="B45" s="7" t="s">
        <v>5</v>
      </c>
      <c r="C45" s="3" t="s">
        <v>218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5" hidden="false" customHeight="true" outlineLevel="0" collapsed="false">
      <c r="A46" s="3"/>
      <c r="B46" s="7" t="s">
        <v>7</v>
      </c>
      <c r="C46" s="3" t="s">
        <v>219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5" hidden="false" customHeight="true" outlineLevel="0" collapsed="false">
      <c r="A47" s="3"/>
      <c r="B47" s="7" t="s">
        <v>8</v>
      </c>
      <c r="C47" s="3" t="s">
        <v>220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5" hidden="false" customHeight="true" outlineLevel="0" collapsed="false">
      <c r="A48" s="3"/>
      <c r="B48" s="7" t="s">
        <v>9</v>
      </c>
      <c r="C48" s="3" t="s">
        <v>221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true" outlineLevel="0" collapsed="false">
      <c r="A49" s="3"/>
      <c r="B49" s="7" t="s">
        <v>10</v>
      </c>
      <c r="C49" s="3" t="s">
        <v>222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true" outlineLevel="0" collapsed="false">
      <c r="A51" s="3"/>
      <c r="B51" s="7" t="s">
        <v>223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9"/>
    <col collapsed="false" customWidth="true" hidden="false" outlineLevel="0" max="3" min="3" style="1" width="10"/>
    <col collapsed="false" customWidth="true" hidden="false" outlineLevel="0" max="4" min="4" style="1" width="24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2" t="s">
        <v>224</v>
      </c>
      <c r="B1" s="3"/>
      <c r="C1" s="3"/>
      <c r="D1" s="3"/>
      <c r="E1" s="3"/>
    </row>
    <row r="2" customFormat="false" ht="15" hidden="false" customHeight="true" outlineLevel="0" collapsed="false">
      <c r="A2" s="3" t="s">
        <v>225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4" t="s">
        <v>226</v>
      </c>
      <c r="B4" s="4" t="s">
        <v>227</v>
      </c>
      <c r="C4" s="4" t="s">
        <v>228</v>
      </c>
      <c r="D4" s="4" t="s">
        <v>229</v>
      </c>
      <c r="E4" s="4" t="s">
        <v>230</v>
      </c>
    </row>
    <row r="5" customFormat="false" ht="15" hidden="false" customHeight="true" outlineLevel="0" collapsed="false">
      <c r="A5" s="3" t="s">
        <v>231</v>
      </c>
      <c r="B5" s="3" t="s">
        <v>232</v>
      </c>
      <c r="C5" s="3" t="n">
        <v>1</v>
      </c>
      <c r="D5" s="3" t="n">
        <v>6.5</v>
      </c>
      <c r="E5" s="3" t="n">
        <f aca="false">C5*D5</f>
        <v>6.5</v>
      </c>
    </row>
    <row r="6" customFormat="false" ht="15" hidden="false" customHeight="true" outlineLevel="0" collapsed="false">
      <c r="A6" s="3" t="s">
        <v>233</v>
      </c>
      <c r="B6" s="3" t="s">
        <v>234</v>
      </c>
      <c r="C6" s="3" t="n">
        <v>2</v>
      </c>
      <c r="D6" s="3" t="n">
        <v>3.8</v>
      </c>
      <c r="E6" s="3" t="n">
        <f aca="false">C6*D6</f>
        <v>7.6</v>
      </c>
    </row>
    <row r="7" customFormat="false" ht="15" hidden="false" customHeight="true" outlineLevel="0" collapsed="false">
      <c r="A7" s="3" t="s">
        <v>235</v>
      </c>
      <c r="B7" s="3" t="s">
        <v>236</v>
      </c>
      <c r="C7" s="3" t="n">
        <v>2</v>
      </c>
      <c r="D7" s="3" t="n">
        <v>2.9</v>
      </c>
      <c r="E7" s="3" t="n">
        <f aca="false">C7*D7</f>
        <v>5.8</v>
      </c>
    </row>
    <row r="8" customFormat="false" ht="15" hidden="false" customHeight="true" outlineLevel="0" collapsed="false">
      <c r="A8" s="3" t="s">
        <v>237</v>
      </c>
      <c r="B8" s="3" t="s">
        <v>238</v>
      </c>
      <c r="C8" s="3" t="n">
        <v>1</v>
      </c>
      <c r="D8" s="3" t="n">
        <v>9.2</v>
      </c>
      <c r="E8" s="3" t="n">
        <f aca="false">C8*D8</f>
        <v>9.2</v>
      </c>
    </row>
    <row r="9" customFormat="false" ht="15" hidden="false" customHeight="true" outlineLevel="0" collapsed="false">
      <c r="A9" s="3" t="s">
        <v>239</v>
      </c>
      <c r="B9" s="3" t="s">
        <v>240</v>
      </c>
      <c r="C9" s="3" t="n">
        <v>1</v>
      </c>
      <c r="D9" s="3" t="n">
        <v>11.4</v>
      </c>
      <c r="E9" s="3" t="n">
        <f aca="false">C9*D9</f>
        <v>11.4</v>
      </c>
    </row>
    <row r="10" customFormat="false" ht="15" hidden="false" customHeight="true" outlineLevel="0" collapsed="false">
      <c r="A10" s="3" t="s">
        <v>241</v>
      </c>
      <c r="B10" s="3" t="s">
        <v>242</v>
      </c>
      <c r="C10" s="3" t="n">
        <v>4</v>
      </c>
      <c r="D10" s="3" t="n">
        <v>1.6</v>
      </c>
      <c r="E10" s="3" t="n">
        <f aca="false">C10*D10</f>
        <v>6.4</v>
      </c>
    </row>
    <row r="11" customFormat="false" ht="15" hidden="false" customHeight="true" outlineLevel="0" collapsed="false">
      <c r="A11" s="3" t="s">
        <v>243</v>
      </c>
      <c r="B11" s="3" t="s">
        <v>244</v>
      </c>
      <c r="C11" s="3" t="n">
        <v>2</v>
      </c>
      <c r="D11" s="3" t="n">
        <v>4.2</v>
      </c>
      <c r="E11" s="3" t="n">
        <f aca="false">C11*D11</f>
        <v>8.4</v>
      </c>
    </row>
    <row r="12" customFormat="false" ht="15" hidden="false" customHeight="true" outlineLevel="0" collapsed="false">
      <c r="A12" s="3" t="s">
        <v>245</v>
      </c>
      <c r="B12" s="3" t="s">
        <v>246</v>
      </c>
      <c r="C12" s="3" t="n">
        <v>6</v>
      </c>
      <c r="D12" s="3" t="n">
        <v>3.4</v>
      </c>
      <c r="E12" s="3" t="n">
        <f aca="false">C12*D12</f>
        <v>20.4</v>
      </c>
    </row>
    <row r="13" customFormat="false" ht="15" hidden="false" customHeight="true" outlineLevel="0" collapsed="false">
      <c r="A13" s="3" t="s">
        <v>247</v>
      </c>
      <c r="B13" s="3" t="s">
        <v>248</v>
      </c>
      <c r="C13" s="3" t="n">
        <v>6</v>
      </c>
      <c r="D13" s="3" t="n">
        <v>2.1</v>
      </c>
      <c r="E13" s="3" t="n">
        <f aca="false">C13*D13</f>
        <v>12.6</v>
      </c>
    </row>
    <row r="14" customFormat="false" ht="15" hidden="false" customHeight="true" outlineLevel="0" collapsed="false">
      <c r="A14" s="3" t="s">
        <v>249</v>
      </c>
      <c r="B14" s="3" t="s">
        <v>250</v>
      </c>
      <c r="C14" s="3" t="n">
        <v>1</v>
      </c>
      <c r="D14" s="3" t="n">
        <v>7.8</v>
      </c>
      <c r="E14" s="3" t="n">
        <f aca="false">C14*D14</f>
        <v>7.8</v>
      </c>
    </row>
    <row r="15" customFormat="false" ht="15" hidden="false" customHeight="true" outlineLevel="0" collapsed="false">
      <c r="A15" s="3" t="s">
        <v>251</v>
      </c>
      <c r="B15" s="3" t="s">
        <v>252</v>
      </c>
      <c r="C15" s="3" t="n">
        <v>1</v>
      </c>
      <c r="D15" s="3" t="n">
        <v>9</v>
      </c>
      <c r="E15" s="3" t="n">
        <f aca="false">C15*D15</f>
        <v>9</v>
      </c>
    </row>
    <row r="16" customFormat="false" ht="15" hidden="false" customHeight="true" outlineLevel="0" collapsed="false">
      <c r="A16" s="3" t="s">
        <v>253</v>
      </c>
      <c r="B16" s="3" t="s">
        <v>254</v>
      </c>
      <c r="C16" s="3" t="n">
        <v>6</v>
      </c>
      <c r="D16" s="3" t="n">
        <v>5.5</v>
      </c>
      <c r="E16" s="3" t="n">
        <f aca="false">C16*D16</f>
        <v>33</v>
      </c>
    </row>
    <row r="17" customFormat="false" ht="15" hidden="false" customHeight="true" outlineLevel="0" collapsed="false">
      <c r="A17" s="3" t="s">
        <v>255</v>
      </c>
      <c r="B17" s="3" t="s">
        <v>256</v>
      </c>
      <c r="C17" s="3" t="n">
        <v>1</v>
      </c>
      <c r="D17" s="3" t="n">
        <v>42</v>
      </c>
      <c r="E17" s="3" t="n">
        <f aca="false">C17*D17</f>
        <v>42</v>
      </c>
    </row>
    <row r="18" customFormat="false" ht="15" hidden="false" customHeight="true" outlineLevel="0" collapsed="false">
      <c r="A18" s="3" t="s">
        <v>257</v>
      </c>
      <c r="B18" s="3" t="s">
        <v>258</v>
      </c>
      <c r="C18" s="3" t="n">
        <v>1</v>
      </c>
      <c r="D18" s="3" t="n">
        <v>18</v>
      </c>
      <c r="E18" s="3" t="n">
        <f aca="false">C18*D18</f>
        <v>18</v>
      </c>
    </row>
    <row r="19" customFormat="false" ht="15" hidden="false" customHeight="true" outlineLevel="0" collapsed="false">
      <c r="A19" s="3"/>
      <c r="B19" s="3"/>
      <c r="C19" s="3"/>
      <c r="D19" s="6" t="s">
        <v>259</v>
      </c>
      <c r="E19" s="6" t="n">
        <f aca="false">SUM(E5:E18)</f>
        <v>198.1</v>
      </c>
    </row>
    <row r="20" customFormat="false" ht="15" hidden="false" customHeight="true" outlineLevel="0" collapsed="false">
      <c r="A20" s="3"/>
      <c r="B20" s="3"/>
      <c r="C20" s="3"/>
      <c r="D20" s="3" t="s">
        <v>260</v>
      </c>
      <c r="E20" s="3" t="n">
        <f aca="false">E19*1.35</f>
        <v>267.435</v>
      </c>
    </row>
    <row r="21" customFormat="false" ht="15" hidden="false" customHeight="true" outlineLevel="0" collapsed="false">
      <c r="A21" s="7" t="s">
        <v>261</v>
      </c>
      <c r="B21" s="3"/>
      <c r="C21" s="3"/>
      <c r="D21" s="6" t="s">
        <v>262</v>
      </c>
      <c r="E21" s="6" t="n">
        <v>270</v>
      </c>
    </row>
    <row r="22" customFormat="false" ht="15" hidden="false" customHeight="true" outlineLevel="0" collapsed="false">
      <c r="A22" s="3"/>
      <c r="B22" s="3"/>
      <c r="C22" s="3"/>
      <c r="D22" s="3"/>
      <c r="E22" s="3"/>
    </row>
    <row r="23" customFormat="false" ht="15" hidden="false" customHeight="true" outlineLevel="0" collapsed="false">
      <c r="A23" s="7" t="s">
        <v>263</v>
      </c>
      <c r="B23" s="3"/>
      <c r="C23" s="3"/>
      <c r="D23" s="3"/>
      <c r="E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2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2" t="s">
        <v>264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3" t="s">
        <v>265</v>
      </c>
      <c r="B2" s="8"/>
      <c r="C2" s="8"/>
      <c r="D2" s="8"/>
      <c r="E2" s="8"/>
      <c r="F2" s="8"/>
    </row>
    <row r="3" customFormat="false" ht="15" hidden="false" customHeight="false" outlineLevel="0" collapsed="false">
      <c r="A3" s="3" t="s">
        <v>266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267</v>
      </c>
      <c r="B5" s="8"/>
      <c r="C5" s="8"/>
      <c r="D5" s="8"/>
      <c r="E5" s="8"/>
      <c r="F5" s="8"/>
    </row>
    <row r="6" customFormat="false" ht="15" hidden="false" customHeight="false" outlineLevel="0" collapsed="false">
      <c r="A6" s="4" t="s">
        <v>268</v>
      </c>
      <c r="B6" s="4" t="s">
        <v>269</v>
      </c>
      <c r="C6" s="4" t="s">
        <v>270</v>
      </c>
      <c r="D6" s="4" t="s">
        <v>271</v>
      </c>
      <c r="E6" s="4" t="s">
        <v>272</v>
      </c>
      <c r="F6" s="8"/>
    </row>
    <row r="7" customFormat="false" ht="15" hidden="false" customHeight="false" outlineLevel="0" collapsed="false">
      <c r="A7" s="3" t="s">
        <v>273</v>
      </c>
      <c r="B7" s="3" t="n">
        <v>70</v>
      </c>
      <c r="C7" s="3" t="s">
        <v>274</v>
      </c>
      <c r="D7" s="3" t="n">
        <f aca="false">B7*55</f>
        <v>3850</v>
      </c>
      <c r="E7" s="3" t="n">
        <f aca="false">IF(C7="externo",B7*95,0)</f>
        <v>0</v>
      </c>
      <c r="F7" s="8"/>
    </row>
    <row r="8" customFormat="false" ht="15" hidden="false" customHeight="false" outlineLevel="0" collapsed="false">
      <c r="A8" s="3" t="s">
        <v>275</v>
      </c>
      <c r="B8" s="3" t="n">
        <v>120</v>
      </c>
      <c r="C8" s="3" t="s">
        <v>276</v>
      </c>
      <c r="D8" s="3" t="n">
        <f aca="false">B8*55</f>
        <v>6600</v>
      </c>
      <c r="E8" s="3" t="n">
        <f aca="false">IF(C8="externo",B8*95,0)</f>
        <v>0</v>
      </c>
      <c r="F8" s="8"/>
    </row>
    <row r="9" customFormat="false" ht="15" hidden="false" customHeight="false" outlineLevel="0" collapsed="false">
      <c r="A9" s="3" t="s">
        <v>277</v>
      </c>
      <c r="B9" s="3" t="n">
        <v>80</v>
      </c>
      <c r="C9" s="3" t="s">
        <v>274</v>
      </c>
      <c r="D9" s="3" t="n">
        <f aca="false">B9*55</f>
        <v>4400</v>
      </c>
      <c r="E9" s="3" t="n">
        <f aca="false">IF(C9="externo",B9*95,0)</f>
        <v>0</v>
      </c>
      <c r="F9" s="8"/>
    </row>
    <row r="10" customFormat="false" ht="15" hidden="false" customHeight="false" outlineLevel="0" collapsed="false">
      <c r="A10" s="3" t="s">
        <v>278</v>
      </c>
      <c r="B10" s="3" t="n">
        <v>140</v>
      </c>
      <c r="C10" s="3" t="s">
        <v>274</v>
      </c>
      <c r="D10" s="3" t="n">
        <f aca="false">B10*55</f>
        <v>7700</v>
      </c>
      <c r="E10" s="3" t="n">
        <f aca="false">IF(C10="externo",B10*95,0)</f>
        <v>0</v>
      </c>
      <c r="F10" s="8"/>
    </row>
    <row r="11" customFormat="false" ht="15" hidden="false" customHeight="false" outlineLevel="0" collapsed="false">
      <c r="A11" s="3" t="s">
        <v>279</v>
      </c>
      <c r="B11" s="3" t="n">
        <v>70</v>
      </c>
      <c r="C11" s="3" t="s">
        <v>274</v>
      </c>
      <c r="D11" s="3" t="n">
        <f aca="false">B11*55</f>
        <v>3850</v>
      </c>
      <c r="E11" s="3" t="n">
        <f aca="false">IF(C11="externo",B11*95,0)</f>
        <v>0</v>
      </c>
      <c r="F11" s="8"/>
    </row>
    <row r="12" customFormat="false" ht="15" hidden="false" customHeight="false" outlineLevel="0" collapsed="false">
      <c r="A12" s="3" t="s">
        <v>280</v>
      </c>
      <c r="B12" s="3" t="n">
        <v>60</v>
      </c>
      <c r="C12" s="3" t="s">
        <v>274</v>
      </c>
      <c r="D12" s="3" t="n">
        <f aca="false">B12*55</f>
        <v>3300</v>
      </c>
      <c r="E12" s="3" t="n">
        <f aca="false">IF(C12="externo",B12*95,0)</f>
        <v>0</v>
      </c>
      <c r="F12" s="8"/>
    </row>
    <row r="13" customFormat="false" ht="15" hidden="false" customHeight="false" outlineLevel="0" collapsed="false">
      <c r="A13" s="3" t="s">
        <v>281</v>
      </c>
      <c r="B13" s="3" t="n">
        <v>100</v>
      </c>
      <c r="C13" s="3" t="s">
        <v>282</v>
      </c>
      <c r="D13" s="3" t="n">
        <f aca="false">B13*55</f>
        <v>5500</v>
      </c>
      <c r="E13" s="3" t="n">
        <f aca="false">IF(C13="externo",B13*95,0)</f>
        <v>0</v>
      </c>
      <c r="F13" s="8"/>
    </row>
    <row r="14" customFormat="false" ht="15" hidden="false" customHeight="false" outlineLevel="0" collapsed="false">
      <c r="A14" s="10" t="s">
        <v>283</v>
      </c>
      <c r="B14" s="10" t="n">
        <f aca="false">SUM(B7:B13)</f>
        <v>640</v>
      </c>
      <c r="C14" s="8"/>
      <c r="D14" s="10" t="n">
        <f aca="false">SUM(D7:D13)</f>
        <v>35200</v>
      </c>
      <c r="E14" s="10" t="n">
        <f aca="false">SUM(E7:E13)</f>
        <v>0</v>
      </c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9" t="s">
        <v>284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4" t="s">
        <v>268</v>
      </c>
      <c r="B17" s="4" t="s">
        <v>269</v>
      </c>
      <c r="C17" s="4" t="s">
        <v>270</v>
      </c>
      <c r="D17" s="4" t="s">
        <v>271</v>
      </c>
      <c r="E17" s="4" t="s">
        <v>272</v>
      </c>
      <c r="F17" s="8"/>
    </row>
    <row r="18" customFormat="false" ht="15" hidden="false" customHeight="false" outlineLevel="0" collapsed="false">
      <c r="A18" s="3" t="s">
        <v>285</v>
      </c>
      <c r="B18" s="3" t="n">
        <v>120</v>
      </c>
      <c r="C18" s="3" t="s">
        <v>274</v>
      </c>
      <c r="D18" s="3" t="n">
        <f aca="false">B18*55</f>
        <v>6600</v>
      </c>
      <c r="E18" s="3" t="n">
        <f aca="false">IF(C18="externo",B18*95,0)</f>
        <v>0</v>
      </c>
      <c r="F18" s="8"/>
    </row>
    <row r="19" customFormat="false" ht="15" hidden="false" customHeight="false" outlineLevel="0" collapsed="false">
      <c r="A19" s="3" t="s">
        <v>286</v>
      </c>
      <c r="B19" s="3" t="n">
        <v>150</v>
      </c>
      <c r="C19" s="3" t="s">
        <v>276</v>
      </c>
      <c r="D19" s="3" t="n">
        <f aca="false">B19*55</f>
        <v>8250</v>
      </c>
      <c r="E19" s="3" t="n">
        <f aca="false">IF(C19="externo",B19*95,0)</f>
        <v>0</v>
      </c>
      <c r="F19" s="8"/>
    </row>
    <row r="20" customFormat="false" ht="15" hidden="false" customHeight="false" outlineLevel="0" collapsed="false">
      <c r="A20" s="3" t="s">
        <v>287</v>
      </c>
      <c r="B20" s="3" t="n">
        <v>120</v>
      </c>
      <c r="C20" s="3" t="s">
        <v>274</v>
      </c>
      <c r="D20" s="3" t="n">
        <f aca="false">B20*55</f>
        <v>6600</v>
      </c>
      <c r="E20" s="3" t="n">
        <f aca="false">IF(C20="externo",B20*95,0)</f>
        <v>0</v>
      </c>
      <c r="F20" s="8"/>
    </row>
    <row r="21" customFormat="false" ht="15" hidden="false" customHeight="false" outlineLevel="0" collapsed="false">
      <c r="A21" s="3" t="s">
        <v>288</v>
      </c>
      <c r="B21" s="3" t="n">
        <v>100</v>
      </c>
      <c r="C21" s="3" t="s">
        <v>282</v>
      </c>
      <c r="D21" s="3" t="n">
        <f aca="false">B21*55</f>
        <v>5500</v>
      </c>
      <c r="E21" s="3" t="n">
        <f aca="false">IF(C21="externo",B21*95,0)</f>
        <v>0</v>
      </c>
      <c r="F21" s="8"/>
    </row>
    <row r="22" customFormat="false" ht="15" hidden="false" customHeight="false" outlineLevel="0" collapsed="false">
      <c r="A22" s="3" t="s">
        <v>289</v>
      </c>
      <c r="B22" s="3" t="n">
        <v>160</v>
      </c>
      <c r="C22" s="3" t="s">
        <v>290</v>
      </c>
      <c r="D22" s="3" t="n">
        <f aca="false">B22*55</f>
        <v>8800</v>
      </c>
      <c r="E22" s="3" t="n">
        <f aca="false">IF(C22="externo",B22*95,0)</f>
        <v>0</v>
      </c>
      <c r="F22" s="8"/>
    </row>
    <row r="23" customFormat="false" ht="15" hidden="false" customHeight="false" outlineLevel="0" collapsed="false">
      <c r="A23" s="10" t="s">
        <v>291</v>
      </c>
      <c r="B23" s="10" t="n">
        <f aca="false">SUM(B18:B22)</f>
        <v>650</v>
      </c>
      <c r="C23" s="8"/>
      <c r="D23" s="10" t="n">
        <f aca="false">SUM(D18:D22)</f>
        <v>35750</v>
      </c>
      <c r="E23" s="10" t="n">
        <f aca="false">SUM(E18:E22)</f>
        <v>0</v>
      </c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9" t="s">
        <v>292</v>
      </c>
      <c r="B25" s="8"/>
      <c r="C25" s="8"/>
      <c r="D25" s="8"/>
      <c r="E25" s="8"/>
      <c r="F25" s="8"/>
    </row>
    <row r="26" customFormat="false" ht="15" hidden="false" customHeight="false" outlineLevel="0" collapsed="false">
      <c r="A26" s="4" t="s">
        <v>268</v>
      </c>
      <c r="B26" s="4" t="s">
        <v>269</v>
      </c>
      <c r="C26" s="4" t="s">
        <v>270</v>
      </c>
      <c r="D26" s="4" t="s">
        <v>271</v>
      </c>
      <c r="E26" s="4" t="s">
        <v>272</v>
      </c>
      <c r="F26" s="8"/>
    </row>
    <row r="27" customFormat="false" ht="15" hidden="false" customHeight="false" outlineLevel="0" collapsed="false">
      <c r="A27" s="3" t="s">
        <v>293</v>
      </c>
      <c r="B27" s="3" t="n">
        <v>200</v>
      </c>
      <c r="C27" s="3" t="s">
        <v>274</v>
      </c>
      <c r="D27" s="3" t="n">
        <f aca="false">B27*55</f>
        <v>11000</v>
      </c>
      <c r="E27" s="3" t="n">
        <f aca="false">IF(C27="externo",B27*95,0)</f>
        <v>0</v>
      </c>
      <c r="F27" s="8"/>
    </row>
    <row r="28" customFormat="false" ht="15" hidden="false" customHeight="false" outlineLevel="0" collapsed="false">
      <c r="A28" s="3" t="s">
        <v>294</v>
      </c>
      <c r="B28" s="3" t="n">
        <v>150</v>
      </c>
      <c r="C28" s="3" t="s">
        <v>274</v>
      </c>
      <c r="D28" s="3" t="n">
        <f aca="false">B28*55</f>
        <v>8250</v>
      </c>
      <c r="E28" s="3" t="n">
        <f aca="false">IF(C28="externo",B28*95,0)</f>
        <v>0</v>
      </c>
      <c r="F28" s="8"/>
    </row>
    <row r="29" customFormat="false" ht="15" hidden="false" customHeight="false" outlineLevel="0" collapsed="false">
      <c r="A29" s="3" t="s">
        <v>295</v>
      </c>
      <c r="B29" s="3" t="n">
        <v>180</v>
      </c>
      <c r="C29" s="3" t="s">
        <v>290</v>
      </c>
      <c r="D29" s="3" t="n">
        <f aca="false">B29*55</f>
        <v>9900</v>
      </c>
      <c r="E29" s="3" t="n">
        <f aca="false">IF(C29="externo",B29*95,0)</f>
        <v>0</v>
      </c>
      <c r="F29" s="8"/>
    </row>
    <row r="30" customFormat="false" ht="15" hidden="false" customHeight="false" outlineLevel="0" collapsed="false">
      <c r="A30" s="3" t="s">
        <v>296</v>
      </c>
      <c r="B30" s="3" t="n">
        <v>120</v>
      </c>
      <c r="C30" s="3" t="s">
        <v>290</v>
      </c>
      <c r="D30" s="3" t="n">
        <f aca="false">B30*55</f>
        <v>6600</v>
      </c>
      <c r="E30" s="3" t="n">
        <f aca="false">IF(C30="externo",B30*95,0)</f>
        <v>0</v>
      </c>
      <c r="F30" s="8"/>
    </row>
    <row r="31" customFormat="false" ht="15" hidden="false" customHeight="false" outlineLevel="0" collapsed="false">
      <c r="A31" s="3" t="s">
        <v>297</v>
      </c>
      <c r="B31" s="3" t="n">
        <v>200</v>
      </c>
      <c r="C31" s="3" t="s">
        <v>274</v>
      </c>
      <c r="D31" s="3" t="n">
        <f aca="false">B31*55</f>
        <v>11000</v>
      </c>
      <c r="E31" s="3" t="n">
        <f aca="false">IF(C31="externo",B31*95,0)</f>
        <v>0</v>
      </c>
      <c r="F31" s="8"/>
    </row>
    <row r="32" customFormat="false" ht="15" hidden="false" customHeight="false" outlineLevel="0" collapsed="false">
      <c r="A32" s="3" t="s">
        <v>298</v>
      </c>
      <c r="B32" s="3" t="n">
        <v>100</v>
      </c>
      <c r="C32" s="3" t="s">
        <v>290</v>
      </c>
      <c r="D32" s="3" t="n">
        <f aca="false">B32*55</f>
        <v>5500</v>
      </c>
      <c r="E32" s="3" t="n">
        <f aca="false">IF(C32="externo",B32*95,0)</f>
        <v>0</v>
      </c>
      <c r="F32" s="8"/>
    </row>
    <row r="33" customFormat="false" ht="15" hidden="false" customHeight="false" outlineLevel="0" collapsed="false">
      <c r="A33" s="10" t="s">
        <v>299</v>
      </c>
      <c r="B33" s="10" t="n">
        <f aca="false">SUM(B27:B32)</f>
        <v>950</v>
      </c>
      <c r="C33" s="8"/>
      <c r="D33" s="10" t="n">
        <f aca="false">SUM(D27:D32)</f>
        <v>52250</v>
      </c>
      <c r="E33" s="10" t="n">
        <f aca="false">SUM(E27:E32)</f>
        <v>0</v>
      </c>
      <c r="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</row>
    <row r="35" customFormat="false" ht="15" hidden="false" customHeight="false" outlineLevel="0" collapsed="false">
      <c r="A35" s="9" t="s">
        <v>300</v>
      </c>
      <c r="B35" s="8"/>
      <c r="C35" s="8"/>
      <c r="D35" s="8"/>
      <c r="E35" s="8"/>
      <c r="F35" s="8"/>
    </row>
    <row r="36" customFormat="false" ht="15" hidden="false" customHeight="false" outlineLevel="0" collapsed="false">
      <c r="A36" s="4" t="s">
        <v>268</v>
      </c>
      <c r="B36" s="4" t="s">
        <v>269</v>
      </c>
      <c r="C36" s="4" t="s">
        <v>270</v>
      </c>
      <c r="D36" s="4" t="s">
        <v>271</v>
      </c>
      <c r="E36" s="4" t="s">
        <v>272</v>
      </c>
      <c r="F36" s="8"/>
    </row>
    <row r="37" customFormat="false" ht="15" hidden="false" customHeight="false" outlineLevel="0" collapsed="false">
      <c r="A37" s="3" t="s">
        <v>301</v>
      </c>
      <c r="B37" s="3" t="n">
        <v>300</v>
      </c>
      <c r="C37" s="3" t="s">
        <v>302</v>
      </c>
      <c r="D37" s="3" t="n">
        <f aca="false">B37*55</f>
        <v>16500</v>
      </c>
      <c r="E37" s="3" t="n">
        <f aca="false">IF(C37="externo",B37*95,0)</f>
        <v>28500</v>
      </c>
      <c r="F37" s="8"/>
    </row>
    <row r="38" customFormat="false" ht="15" hidden="false" customHeight="false" outlineLevel="0" collapsed="false">
      <c r="A38" s="3" t="s">
        <v>303</v>
      </c>
      <c r="B38" s="3" t="n">
        <v>250</v>
      </c>
      <c r="C38" s="3" t="s">
        <v>302</v>
      </c>
      <c r="D38" s="3" t="n">
        <f aca="false">B38*55</f>
        <v>13750</v>
      </c>
      <c r="E38" s="3" t="n">
        <f aca="false">IF(C38="externo",B38*95,0)</f>
        <v>23750</v>
      </c>
      <c r="F38" s="8"/>
    </row>
    <row r="39" customFormat="false" ht="15" hidden="false" customHeight="false" outlineLevel="0" collapsed="false">
      <c r="A39" s="3" t="s">
        <v>304</v>
      </c>
      <c r="B39" s="3" t="n">
        <v>250</v>
      </c>
      <c r="C39" s="3" t="s">
        <v>274</v>
      </c>
      <c r="D39" s="3" t="n">
        <f aca="false">B39*55</f>
        <v>13750</v>
      </c>
      <c r="E39" s="3" t="n">
        <f aca="false">IF(C39="externo",B39*95,0)</f>
        <v>0</v>
      </c>
      <c r="F39" s="8"/>
    </row>
    <row r="40" customFormat="false" ht="15" hidden="false" customHeight="false" outlineLevel="0" collapsed="false">
      <c r="A40" s="3" t="s">
        <v>305</v>
      </c>
      <c r="B40" s="3" t="n">
        <v>300</v>
      </c>
      <c r="C40" s="3" t="s">
        <v>282</v>
      </c>
      <c r="D40" s="3" t="n">
        <f aca="false">B40*55</f>
        <v>16500</v>
      </c>
      <c r="E40" s="3" t="n">
        <f aca="false">IF(C40="externo",B40*95,0)</f>
        <v>0</v>
      </c>
      <c r="F40" s="8"/>
    </row>
    <row r="41" customFormat="false" ht="15" hidden="false" customHeight="false" outlineLevel="0" collapsed="false">
      <c r="A41" s="3" t="s">
        <v>306</v>
      </c>
      <c r="B41" s="3" t="n">
        <v>200</v>
      </c>
      <c r="C41" s="3" t="s">
        <v>290</v>
      </c>
      <c r="D41" s="3" t="n">
        <f aca="false">B41*55</f>
        <v>11000</v>
      </c>
      <c r="E41" s="3" t="n">
        <f aca="false">IF(C41="externo",B41*95,0)</f>
        <v>0</v>
      </c>
      <c r="F41" s="8"/>
    </row>
    <row r="42" customFormat="false" ht="15" hidden="false" customHeight="false" outlineLevel="0" collapsed="false">
      <c r="A42" s="10" t="s">
        <v>307</v>
      </c>
      <c r="B42" s="10" t="n">
        <f aca="false">SUM(B37:B41)</f>
        <v>1300</v>
      </c>
      <c r="C42" s="8"/>
      <c r="D42" s="10" t="n">
        <f aca="false">SUM(D37:D41)</f>
        <v>71500</v>
      </c>
      <c r="E42" s="10" t="n">
        <f aca="false">SUM(E37:E41)</f>
        <v>52250</v>
      </c>
      <c r="F42" s="8"/>
    </row>
    <row r="43" customFormat="false" ht="15" hidden="false" customHeight="false" outlineLevel="0" collapsed="false">
      <c r="A43" s="3" t="s">
        <v>308</v>
      </c>
      <c r="B43" s="8"/>
      <c r="C43" s="3" t="s">
        <v>302</v>
      </c>
      <c r="D43" s="8"/>
      <c r="E43" s="3" t="n">
        <v>8000</v>
      </c>
      <c r="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</row>
    <row r="45" customFormat="false" ht="15" hidden="false" customHeight="false" outlineLevel="0" collapsed="false">
      <c r="A45" s="9" t="s">
        <v>309</v>
      </c>
      <c r="B45" s="8"/>
      <c r="C45" s="8"/>
      <c r="D45" s="8"/>
      <c r="E45" s="8"/>
      <c r="F45" s="8"/>
    </row>
    <row r="46" customFormat="false" ht="15" hidden="false" customHeight="false" outlineLevel="0" collapsed="false">
      <c r="A46" s="4" t="s">
        <v>268</v>
      </c>
      <c r="B46" s="4" t="s">
        <v>269</v>
      </c>
      <c r="C46" s="4" t="s">
        <v>270</v>
      </c>
      <c r="D46" s="4" t="s">
        <v>271</v>
      </c>
      <c r="E46" s="4" t="s">
        <v>272</v>
      </c>
      <c r="F46" s="8"/>
    </row>
    <row r="47" customFormat="false" ht="15" hidden="false" customHeight="false" outlineLevel="0" collapsed="false">
      <c r="A47" s="3" t="s">
        <v>310</v>
      </c>
      <c r="B47" s="3" t="n">
        <v>600</v>
      </c>
      <c r="C47" s="3" t="s">
        <v>302</v>
      </c>
      <c r="D47" s="3" t="n">
        <f aca="false">B47*55</f>
        <v>33000</v>
      </c>
      <c r="E47" s="3" t="n">
        <f aca="false">IF(C47="externo",B47*95,0)</f>
        <v>57000</v>
      </c>
      <c r="F47" s="8"/>
    </row>
    <row r="48" customFormat="false" ht="15" hidden="false" customHeight="false" outlineLevel="0" collapsed="false">
      <c r="A48" s="3" t="s">
        <v>311</v>
      </c>
      <c r="B48" s="3" t="n">
        <v>500</v>
      </c>
      <c r="C48" s="3" t="s">
        <v>302</v>
      </c>
      <c r="D48" s="3" t="n">
        <f aca="false">B48*55</f>
        <v>27500</v>
      </c>
      <c r="E48" s="3" t="n">
        <f aca="false">IF(C48="externo",B48*95,0)</f>
        <v>47500</v>
      </c>
      <c r="F48" s="8"/>
    </row>
    <row r="49" customFormat="false" ht="15" hidden="false" customHeight="false" outlineLevel="0" collapsed="false">
      <c r="A49" s="3" t="s">
        <v>312</v>
      </c>
      <c r="B49" s="3" t="n">
        <v>400</v>
      </c>
      <c r="C49" s="3" t="s">
        <v>302</v>
      </c>
      <c r="D49" s="3" t="n">
        <f aca="false">B49*55</f>
        <v>22000</v>
      </c>
      <c r="E49" s="3" t="n">
        <f aca="false">IF(C49="externo",B49*95,0)</f>
        <v>38000</v>
      </c>
      <c r="F49" s="8"/>
    </row>
    <row r="50" customFormat="false" ht="15" hidden="false" customHeight="false" outlineLevel="0" collapsed="false">
      <c r="A50" s="3" t="s">
        <v>313</v>
      </c>
      <c r="B50" s="3" t="n">
        <v>300</v>
      </c>
      <c r="C50" s="3" t="s">
        <v>290</v>
      </c>
      <c r="D50" s="3" t="n">
        <f aca="false">B50*55</f>
        <v>16500</v>
      </c>
      <c r="E50" s="3" t="n">
        <f aca="false">IF(C50="externo",B50*95,0)</f>
        <v>0</v>
      </c>
      <c r="F50" s="8"/>
    </row>
    <row r="51" customFormat="false" ht="15" hidden="false" customHeight="false" outlineLevel="0" collapsed="false">
      <c r="A51" s="10" t="s">
        <v>314</v>
      </c>
      <c r="B51" s="10" t="n">
        <f aca="false">SUM(B47:B50)</f>
        <v>1800</v>
      </c>
      <c r="C51" s="8"/>
      <c r="D51" s="10" t="n">
        <f aca="false">SUM(D47:D50)</f>
        <v>99000</v>
      </c>
      <c r="E51" s="10" t="n">
        <f aca="false">SUM(E47:E50)</f>
        <v>142500</v>
      </c>
      <c r="F51" s="8"/>
    </row>
    <row r="52" customFormat="false" ht="15" hidden="false" customHeight="false" outlineLevel="0" collapsed="false">
      <c r="A52" s="3" t="s">
        <v>308</v>
      </c>
      <c r="B52" s="8"/>
      <c r="C52" s="3" t="s">
        <v>302</v>
      </c>
      <c r="D52" s="8"/>
      <c r="E52" s="3" t="n">
        <v>55000</v>
      </c>
      <c r="F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</row>
    <row r="54" customFormat="false" ht="16.15" hidden="false" customHeight="false" outlineLevel="0" collapsed="false">
      <c r="A54" s="11" t="s">
        <v>315</v>
      </c>
      <c r="B54" s="8"/>
      <c r="C54" s="8"/>
      <c r="D54" s="8"/>
      <c r="E54" s="8"/>
      <c r="F54" s="8"/>
    </row>
    <row r="55" customFormat="false" ht="15" hidden="false" customHeight="false" outlineLevel="0" collapsed="false">
      <c r="A55" s="4" t="s">
        <v>316</v>
      </c>
      <c r="B55" s="4" t="s">
        <v>269</v>
      </c>
      <c r="C55" s="4" t="s">
        <v>317</v>
      </c>
      <c r="D55" s="4" t="s">
        <v>318</v>
      </c>
      <c r="E55" s="4" t="s">
        <v>271</v>
      </c>
      <c r="F55" s="4" t="s">
        <v>272</v>
      </c>
    </row>
    <row r="56" customFormat="false" ht="15" hidden="false" customHeight="false" outlineLevel="0" collapsed="false">
      <c r="A56" s="12" t="s">
        <v>5</v>
      </c>
      <c r="B56" s="3" t="n">
        <v>640</v>
      </c>
      <c r="C56" s="3" t="n">
        <f aca="false">B56/40</f>
        <v>16</v>
      </c>
      <c r="D56" s="3" t="n">
        <v>640</v>
      </c>
      <c r="E56" s="3" t="n">
        <v>35200</v>
      </c>
      <c r="F56" s="5" t="n">
        <v>0</v>
      </c>
    </row>
    <row r="57" customFormat="false" ht="15" hidden="false" customHeight="false" outlineLevel="0" collapsed="false">
      <c r="A57" s="12" t="s">
        <v>7</v>
      </c>
      <c r="B57" s="3" t="n">
        <v>650</v>
      </c>
      <c r="C57" s="3" t="n">
        <f aca="false">B57/40</f>
        <v>16.25</v>
      </c>
      <c r="D57" s="3" t="n">
        <v>1290</v>
      </c>
      <c r="E57" s="3" t="n">
        <v>35750</v>
      </c>
      <c r="F57" s="5" t="n">
        <v>0</v>
      </c>
    </row>
    <row r="58" customFormat="false" ht="15" hidden="false" customHeight="false" outlineLevel="0" collapsed="false">
      <c r="A58" s="12" t="s">
        <v>8</v>
      </c>
      <c r="B58" s="3" t="n">
        <v>950</v>
      </c>
      <c r="C58" s="3" t="n">
        <f aca="false">B58/40</f>
        <v>23.75</v>
      </c>
      <c r="D58" s="3" t="n">
        <v>2240</v>
      </c>
      <c r="E58" s="3" t="n">
        <v>52250</v>
      </c>
      <c r="F58" s="5" t="n">
        <v>0</v>
      </c>
    </row>
    <row r="59" customFormat="false" ht="15" hidden="false" customHeight="false" outlineLevel="0" collapsed="false">
      <c r="A59" s="12" t="s">
        <v>9</v>
      </c>
      <c r="B59" s="3" t="n">
        <v>1300</v>
      </c>
      <c r="C59" s="3" t="n">
        <f aca="false">B59/40</f>
        <v>32.5</v>
      </c>
      <c r="D59" s="3" t="n">
        <v>3540</v>
      </c>
      <c r="E59" s="3" t="n">
        <v>71500</v>
      </c>
      <c r="F59" s="13" t="n">
        <v>60250</v>
      </c>
    </row>
    <row r="60" customFormat="false" ht="15" hidden="false" customHeight="false" outlineLevel="0" collapsed="false">
      <c r="A60" s="12" t="s">
        <v>10</v>
      </c>
      <c r="B60" s="3" t="n">
        <v>1800</v>
      </c>
      <c r="C60" s="3" t="n">
        <f aca="false">B60/40</f>
        <v>45</v>
      </c>
      <c r="D60" s="3" t="n">
        <v>5340</v>
      </c>
      <c r="E60" s="3" t="n">
        <v>99000</v>
      </c>
      <c r="F60" s="13" t="n">
        <v>197500</v>
      </c>
    </row>
    <row r="61" customFormat="false" ht="15" hidden="false" customHeight="false" outlineLevel="0" collapsed="false">
      <c r="A61" s="10" t="s">
        <v>319</v>
      </c>
      <c r="B61" s="10" t="n">
        <f aca="false">SUM(B56:B60)</f>
        <v>5340</v>
      </c>
      <c r="C61" s="8"/>
      <c r="D61" s="10" t="n">
        <v>5340</v>
      </c>
      <c r="E61" s="10" t="n">
        <f aca="false">SUM(E56:E60)</f>
        <v>293700</v>
      </c>
      <c r="F61" s="10" t="n">
        <f aca="false">SUM(F56:F60)</f>
        <v>257750</v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</row>
    <row r="63" customFormat="false" ht="17.35" hidden="false" customHeight="false" outlineLevel="0" collapsed="false">
      <c r="A63" s="14" t="s">
        <v>320</v>
      </c>
      <c r="B63" s="8"/>
      <c r="C63" s="8"/>
      <c r="D63" s="8"/>
      <c r="E63" s="8"/>
      <c r="F63" s="15" t="n">
        <v>0</v>
      </c>
    </row>
    <row r="64" customFormat="false" ht="15" hidden="false" customHeight="false" outlineLevel="0" collapsed="false">
      <c r="A64" s="10" t="s">
        <v>321</v>
      </c>
      <c r="B64" s="8"/>
      <c r="C64" s="8"/>
      <c r="D64" s="8"/>
      <c r="E64" s="8"/>
      <c r="F64" s="16" t="n">
        <v>123200</v>
      </c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</row>
    <row r="66" customFormat="false" ht="16.15" hidden="false" customHeight="false" outlineLevel="0" collapsed="false">
      <c r="A66" s="11" t="s">
        <v>322</v>
      </c>
      <c r="B66" s="8"/>
      <c r="C66" s="8"/>
      <c r="D66" s="8"/>
      <c r="E66" s="8"/>
      <c r="F66" s="8"/>
    </row>
    <row r="67" customFormat="false" ht="15" hidden="false" customHeight="false" outlineLevel="0" collapsed="false">
      <c r="A67" s="3" t="s">
        <v>323</v>
      </c>
      <c r="B67" s="8"/>
      <c r="C67" s="8"/>
      <c r="D67" s="12"/>
      <c r="E67" s="8"/>
      <c r="F67" s="8"/>
    </row>
    <row r="68" customFormat="false" ht="15" hidden="false" customHeight="false" outlineLevel="0" collapsed="false">
      <c r="A68" s="3" t="s">
        <v>324</v>
      </c>
      <c r="B68" s="8"/>
      <c r="C68" s="8"/>
      <c r="D68" s="12" t="s">
        <v>325</v>
      </c>
      <c r="E68" s="8"/>
      <c r="F68" s="8"/>
    </row>
    <row r="69" customFormat="false" ht="15" hidden="false" customHeight="false" outlineLevel="0" collapsed="false">
      <c r="A69" s="3" t="s">
        <v>326</v>
      </c>
      <c r="B69" s="8"/>
      <c r="C69" s="8"/>
      <c r="D69" s="12" t="s">
        <v>327</v>
      </c>
      <c r="E69" s="8"/>
      <c r="F69" s="8"/>
    </row>
    <row r="70" customFormat="false" ht="15" hidden="false" customHeight="false" outlineLevel="0" collapsed="false">
      <c r="A70" s="3" t="s">
        <v>328</v>
      </c>
      <c r="B70" s="8"/>
      <c r="C70" s="8"/>
      <c r="D70" s="12" t="s">
        <v>329</v>
      </c>
      <c r="E70" s="8"/>
      <c r="F70" s="8"/>
    </row>
    <row r="71" customFormat="false" ht="15" hidden="false" customHeight="false" outlineLevel="0" collapsed="false">
      <c r="A71" s="3" t="s">
        <v>330</v>
      </c>
      <c r="B71" s="8"/>
      <c r="C71" s="8"/>
      <c r="D71" s="12" t="s">
        <v>331</v>
      </c>
      <c r="E71" s="8"/>
      <c r="F71" s="8"/>
    </row>
    <row r="72" customFormat="false" ht="15" hidden="false" customHeight="false" outlineLevel="0" collapsed="false">
      <c r="A72" s="3" t="s">
        <v>332</v>
      </c>
      <c r="B72" s="8"/>
      <c r="C72" s="8"/>
      <c r="D72" s="12" t="s">
        <v>333</v>
      </c>
      <c r="E72" s="8"/>
      <c r="F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</row>
    <row r="74" customFormat="false" ht="15" hidden="false" customHeight="false" outlineLevel="0" collapsed="false">
      <c r="A74" s="12" t="s">
        <v>334</v>
      </c>
      <c r="B74" s="8"/>
      <c r="C74" s="8"/>
      <c r="D74" s="8"/>
      <c r="E74" s="8"/>
      <c r="F74" s="8"/>
    </row>
    <row r="75" customFormat="false" ht="15" hidden="false" customHeight="false" outlineLevel="0" collapsed="false">
      <c r="A75" s="3" t="s">
        <v>335</v>
      </c>
      <c r="B75" s="8"/>
      <c r="C75" s="8"/>
      <c r="D75" s="8"/>
      <c r="E75" s="8"/>
      <c r="F75" s="8"/>
    </row>
    <row r="76" customFormat="false" ht="15" hidden="false" customHeight="false" outlineLevel="0" collapsed="false">
      <c r="A76" s="3" t="s">
        <v>336</v>
      </c>
      <c r="B76" s="8"/>
      <c r="C76" s="8"/>
      <c r="D76" s="8"/>
      <c r="E76" s="8"/>
      <c r="F76" s="8"/>
    </row>
    <row r="77" customFormat="false" ht="15" hidden="false" customHeight="false" outlineLevel="0" collapsed="false">
      <c r="A77" s="3"/>
      <c r="B77" s="8"/>
      <c r="C77" s="8"/>
      <c r="D77" s="8"/>
      <c r="E77" s="8"/>
      <c r="F77" s="8"/>
    </row>
    <row r="78" customFormat="false" ht="15" hidden="false" customHeight="false" outlineLevel="0" collapsed="false">
      <c r="A78" s="12" t="s">
        <v>337</v>
      </c>
      <c r="B78" s="8"/>
      <c r="C78" s="8"/>
      <c r="D78" s="8"/>
      <c r="E78" s="8"/>
      <c r="F78" s="8"/>
    </row>
    <row r="79" customFormat="false" ht="15" hidden="false" customHeight="false" outlineLevel="0" collapsed="false">
      <c r="A79" s="3" t="s">
        <v>338</v>
      </c>
      <c r="B79" s="8"/>
      <c r="C79" s="8"/>
      <c r="D79" s="8"/>
      <c r="E79" s="8"/>
      <c r="F7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2026-08-20T22:15:12Z</dcterms:created>
  <dc:creator>openpyxl</dc:creator>
  <dc:description/>
  <dc:language>en-US</dc:language>
  <cp:lastModifiedBy/>
  <dcterms:modified xsi:type="dcterms:W3CDTF">2026-08-20T22:38:42Z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